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افتراضات" sheetId="2" state="visible" r:id="rId2"/>
    <sheet xmlns:r="http://schemas.openxmlformats.org/officeDocument/2006/relationships" name="التدفق الشهري" sheetId="3" state="visible" r:id="rId3"/>
    <sheet xmlns:r="http://schemas.openxmlformats.org/officeDocument/2006/relationships" name="نقطة التعادل" sheetId="4" state="visible" r:id="rId4"/>
    <sheet xmlns:r="http://schemas.openxmlformats.org/officeDocument/2006/relationships" name="السيناريوه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ر.س&quot;;(#,##0&quot; ر.س&quot;);&quot;-&quot;"/>
    <numFmt numFmtId="165" formatCode="#,##0;(#,##0);&quot;-&quot;"/>
    <numFmt numFmtId="166" formatCode="0.0%"/>
    <numFmt numFmtId="167" formatCode="0.0"/>
    <numFmt numFmtId="168" formatCode="0.0&quot;x&quot;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sz val="10"/>
    </font>
    <font>
      <name val="Arial"/>
      <b val="1"/>
      <sz val="11"/>
    </font>
    <font>
      <name val="Arial"/>
      <b val="1"/>
      <color rgb="00000000"/>
      <sz val="11"/>
    </font>
    <font>
      <name val="Arial"/>
      <color rgb="00008000"/>
      <sz val="11"/>
    </font>
    <font>
      <name val="Arial"/>
      <b val="1"/>
      <sz val="16"/>
    </font>
    <font>
      <name val="Arial"/>
      <b val="1"/>
      <color rgb="00008000"/>
      <sz val="11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9" fillId="0" borderId="1" pivotButton="0" quotePrefix="0" xfId="0"/>
    <xf numFmtId="0" fontId="6" fillId="0" borderId="1" applyAlignment="1" pivotButton="0" quotePrefix="0" xfId="0">
      <alignment wrapText="1"/>
    </xf>
    <xf numFmtId="166" fontId="9" fillId="0" borderId="1" pivotButton="0" quotePrefix="0" xfId="0"/>
    <xf numFmtId="0" fontId="8" fillId="0" borderId="1" pivotButton="0" quotePrefix="0" xfId="0"/>
    <xf numFmtId="165" fontId="11" fillId="3" borderId="1" pivotButton="0" quotePrefix="0" xfId="0"/>
    <xf numFmtId="165" fontId="9" fillId="0" borderId="1" pivotButton="0" quotePrefix="0" xfId="0"/>
    <xf numFmtId="164" fontId="11" fillId="3" borderId="1" pivotButton="0" quotePrefix="0" xfId="0"/>
    <xf numFmtId="167" fontId="9" fillId="0" borderId="1" pivotButton="0" quotePrefix="0" xfId="0"/>
    <xf numFmtId="0" fontId="7" fillId="0" borderId="0" pivotButton="0" quotePrefix="0" xfId="0"/>
    <xf numFmtId="0" fontId="5" fillId="3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5" fillId="3" borderId="1" pivotButton="0" quotePrefix="0" xfId="0"/>
    <xf numFmtId="0" fontId="6" fillId="0" borderId="1" applyAlignment="1" pivotButton="0" quotePrefix="0" xfId="0">
      <alignment vertical="top" wrapText="1"/>
    </xf>
    <xf numFmtId="0" fontId="7" fillId="4" borderId="0" pivotButton="0" quotePrefix="0" xfId="0"/>
    <xf numFmtId="0" fontId="12" fillId="4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6" fontId="4" fillId="0" borderId="1" pivotButton="0" quotePrefix="0" xfId="0"/>
    <xf numFmtId="164" fontId="4" fillId="0" borderId="1" pivotButton="0" quotePrefix="0" xfId="0"/>
    <xf numFmtId="0" fontId="6" fillId="0" borderId="1" pivotButton="0" quotePrefix="0" xfId="0"/>
    <xf numFmtId="165" fontId="4" fillId="5" borderId="1" pivotButton="0" quotePrefix="0" xfId="0"/>
    <xf numFmtId="165" fontId="4" fillId="0" borderId="1" pivotButton="0" quotePrefix="0" xfId="0"/>
    <xf numFmtId="165" fontId="8" fillId="5" borderId="1" pivotButton="0" quotePrefix="0" xfId="0"/>
    <xf numFmtId="0" fontId="8" fillId="5" borderId="1" pivotButton="0" quotePrefix="0" xfId="0"/>
    <xf numFmtId="0" fontId="8" fillId="4" borderId="1" pivotButton="0" quotePrefix="0" xfId="0"/>
    <xf numFmtId="164" fontId="8" fillId="5" borderId="1" pivotButton="0" quotePrefix="0" xfId="0"/>
    <xf numFmtId="164" fontId="8" fillId="0" borderId="1" pivotButton="0" quotePrefix="0" xfId="0"/>
    <xf numFmtId="164" fontId="8" fillId="3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6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rightToLeft="1"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50" customWidth="1" min="3" max="3"/>
  </cols>
  <sheetData>
    <row r="1">
      <c r="A1" s="1" t="inlineStr">
        <is>
          <t>نَسَق — الدراسة المالية لسنة الإطلاق 2027</t>
        </is>
      </c>
      <c r="B1" s="2" t="n"/>
      <c r="C1" s="2" t="n"/>
    </row>
    <row r="2">
      <c r="A2" s="3" t="inlineStr">
        <is>
          <t>أُعدت بتاريخ 2026-10-13 بناءً على أرقامك ومسودة التسعير. كل الأرقام هنا معادلات مرتبطة بورقة الافتراضات.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المؤشر</t>
        </is>
      </c>
      <c r="B4" s="4" t="inlineStr">
        <is>
          <t>القيمة</t>
        </is>
      </c>
      <c r="C4" s="4" t="inlineStr">
        <is>
          <t>ملاحظة</t>
        </is>
      </c>
    </row>
    <row r="5">
      <c r="A5" s="5" t="inlineStr">
        <is>
          <t>إجمالي تكاليف السنة</t>
        </is>
      </c>
      <c r="B5" s="6">
        <f>'التدفق الشهري'!N30</f>
        <v/>
      </c>
      <c r="C5" s="7" t="inlineStr">
        <is>
          <t>ثابتة + متغيرة، بخطة الاكتساب الحالية</t>
        </is>
      </c>
    </row>
    <row r="6">
      <c r="A6" s="5" t="inlineStr">
        <is>
          <t>متوسط التكلفة الثابتة الشهرية</t>
        </is>
      </c>
      <c r="B6" s="6">
        <f>'نقطة التعادل'!B4</f>
        <v/>
      </c>
      <c r="C6" s="7" t="inlineStr"/>
    </row>
    <row r="7">
      <c r="A7" s="5" t="inlineStr">
        <is>
          <t>التكلفة الثابتة في ديسمبر</t>
        </is>
      </c>
      <c r="B7" s="6">
        <f>'نقطة التعادل'!B5</f>
        <v/>
      </c>
      <c r="C7" s="7" t="inlineStr">
        <is>
          <t>بعد نمو التسويق والاستضافة</t>
        </is>
      </c>
    </row>
    <row r="8">
      <c r="A8" s="2" t="n"/>
      <c r="B8" s="2" t="n"/>
      <c r="C8" s="2" t="n"/>
    </row>
    <row r="9">
      <c r="A9" s="5" t="inlineStr">
        <is>
          <t>هامش المساهمة الشهري للعميل الواحد</t>
        </is>
      </c>
      <c r="B9" s="6">
        <f>'نقطة التعادل'!B10</f>
        <v/>
      </c>
      <c r="C9" s="7" t="inlineStr">
        <is>
          <t>صافي بعد الضريبة ورسوم الدفع والتكلفة المتغيرة</t>
        </is>
      </c>
    </row>
    <row r="10">
      <c r="A10" s="5" t="inlineStr">
        <is>
          <t>الهامش الإجمالي</t>
        </is>
      </c>
      <c r="B10" s="8">
        <f>'نقطة التعادل'!B11</f>
        <v/>
      </c>
      <c r="C10" s="7" t="inlineStr"/>
    </row>
    <row r="11">
      <c r="A11" s="2" t="n"/>
      <c r="B11" s="2" t="n"/>
      <c r="C11" s="2" t="n"/>
    </row>
    <row r="12">
      <c r="A12" s="9" t="inlineStr">
        <is>
          <t>عقود سنوية مطلوبة لتغطية تكاليف السنة كاملة</t>
        </is>
      </c>
      <c r="B12" s="10">
        <f>'نقطة التعادل'!B15</f>
        <v/>
      </c>
      <c r="C12" s="7" t="inlineStr">
        <is>
          <t>الرقم الرئيسي: كم عميلًا تحتاج خلال 2027</t>
        </is>
      </c>
    </row>
    <row r="13">
      <c r="A13" s="5" t="inlineStr">
        <is>
          <t>عملاء نشطون مطلوبون للتعادل الشهري في ديسمبر</t>
        </is>
      </c>
      <c r="B13" s="11">
        <f>'نقطة التعادل'!B14</f>
        <v/>
      </c>
      <c r="C13" s="7" t="inlineStr">
        <is>
          <t>ليتحول النشاط إلى مستدام بعد السنة الأولى</t>
        </is>
      </c>
    </row>
    <row r="14">
      <c r="A14" s="5" t="inlineStr">
        <is>
          <t>العملاء المخططون في السنة</t>
        </is>
      </c>
      <c r="B14" s="11">
        <f>'نقطة التعادل'!B16</f>
        <v/>
      </c>
      <c r="C14" s="7" t="inlineStr">
        <is>
          <t>عدّل خطة الاكتساب في ورقة الافتراضات</t>
        </is>
      </c>
    </row>
    <row r="15">
      <c r="A15" s="5" t="inlineStr">
        <is>
          <t>الفجوة بين المخطط والمطلوب</t>
        </is>
      </c>
      <c r="B15" s="11">
        <f>'نقطة التعادل'!B17</f>
        <v/>
      </c>
      <c r="C15" s="7" t="inlineStr">
        <is>
          <t>سالب = نقص في العملاء</t>
        </is>
      </c>
    </row>
    <row r="16">
      <c r="A16" s="2" t="n"/>
      <c r="B16" s="2" t="n"/>
      <c r="C16" s="2" t="n"/>
    </row>
    <row r="17">
      <c r="A17" s="5" t="inlineStr">
        <is>
          <t>الإيراد النقدي المقبوض في السنة</t>
        </is>
      </c>
      <c r="B17" s="6">
        <f>'التدفق الشهري'!N11</f>
        <v/>
      </c>
      <c r="C17" s="7" t="inlineStr"/>
    </row>
    <row r="18">
      <c r="A18" s="5" t="inlineStr">
        <is>
          <t>صافي النقد نهاية السنة</t>
        </is>
      </c>
      <c r="B18" s="6">
        <f>'التدفق الشهري'!N34</f>
        <v/>
      </c>
      <c r="C18" s="7" t="inlineStr"/>
    </row>
    <row r="19">
      <c r="A19" s="9" t="inlineStr">
        <is>
          <t>رأس المال المطلوب (أعمق نقطة سالبة في النقد)</t>
        </is>
      </c>
      <c r="B19" s="12">
        <f>'التدفق الشهري'!B38</f>
        <v/>
      </c>
      <c r="C19" s="7" t="inlineStr">
        <is>
          <t>المبلغ الذي تحتاج توفيره قبل البداية</t>
        </is>
      </c>
    </row>
    <row r="20">
      <c r="A20" s="5" t="inlineStr">
        <is>
          <t>الإيراد المؤجل نهاية السنة</t>
        </is>
      </c>
      <c r="B20" s="6">
        <f>'التدفق الشهري'!B39</f>
        <v/>
      </c>
      <c r="C20" s="7" t="inlineStr">
        <is>
          <t>مقبوض لكنه التزام بخدمة في 2028</t>
        </is>
      </c>
    </row>
    <row r="21">
      <c r="A21" s="2" t="n"/>
      <c r="B21" s="2" t="n"/>
      <c r="C21" s="2" t="n"/>
    </row>
    <row r="22">
      <c r="A22" s="5" t="inlineStr">
        <is>
          <t>تكلفة اكتساب العميل (CAC)</t>
        </is>
      </c>
      <c r="B22" s="6">
        <f>'نقطة التعادل'!B27</f>
        <v/>
      </c>
      <c r="C22" s="7" t="inlineStr"/>
    </row>
    <row r="23">
      <c r="A23" s="5" t="inlineStr">
        <is>
          <t>فترة استرداد CAC بالأشهر</t>
        </is>
      </c>
      <c r="B23" s="13">
        <f>'نقطة التعادل'!B29</f>
        <v/>
      </c>
      <c r="C23" s="7" t="inlineStr">
        <is>
          <t>الهدف أقل من 12</t>
        </is>
      </c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14" t="inlineStr">
        <is>
          <t>دليل الألوان</t>
        </is>
      </c>
      <c r="B26" s="2" t="n"/>
      <c r="C26" s="2" t="n"/>
    </row>
    <row r="27">
      <c r="A27" s="15" t="inlineStr">
        <is>
          <t>أزرق على أصفر: مدخل تعدّله</t>
        </is>
      </c>
      <c r="B27" s="2" t="n"/>
      <c r="C27" s="2" t="n"/>
    </row>
    <row r="28">
      <c r="A28" s="16" t="inlineStr">
        <is>
          <t>أسود: معادلة</t>
        </is>
      </c>
      <c r="B28" s="2" t="n"/>
      <c r="C28" s="2" t="n"/>
    </row>
    <row r="29">
      <c r="A29" s="17" t="inlineStr">
        <is>
          <t>أخضر: مرتبط بورقة أخرى</t>
        </is>
      </c>
      <c r="B29" s="2" t="n"/>
      <c r="C29" s="2" t="n"/>
    </row>
    <row r="30">
      <c r="A30" s="2" t="n"/>
      <c r="B30" s="2" t="n"/>
      <c r="C30" s="2" t="n"/>
    </row>
    <row r="31">
      <c r="A31" s="14" t="inlineStr">
        <is>
          <t>أسئلة تغيّر النتيجة (أجب عليها وعدّل الافتراضات)</t>
        </is>
      </c>
      <c r="B31" s="2" t="n"/>
      <c r="C31" s="2" t="n"/>
    </row>
    <row r="32">
      <c r="A32" s="18" t="inlineStr">
        <is>
          <t>2. متى يبدأ موظف المبيعات فعلًا؟ يناير أم بعد جاهزية المنتج؟ (B9)</t>
        </is>
      </c>
      <c r="B32" s="2" t="n"/>
      <c r="C32" s="2" t="n"/>
    </row>
    <row r="33">
      <c r="A33" s="18" t="inlineStr">
        <is>
          <t>3. هل التسويق ثابت 1,000 أم ينمو؟ وبأي نسبة؟ (B13)</t>
        </is>
      </c>
      <c r="B33" s="2" t="n"/>
      <c r="C33" s="2" t="n"/>
    </row>
    <row r="34">
      <c r="A34" s="18" t="inlineStr">
        <is>
          <t>4. ما المزيج المتوقع للعملاء: حزمة كاملة أم تطبيق واحد؟ (B27–B30)</t>
        </is>
      </c>
      <c r="B34" s="2" t="n"/>
      <c r="C34" s="2" t="n"/>
    </row>
    <row r="35">
      <c r="A35" s="18" t="inlineStr">
        <is>
          <t>5. هل عندك مصاريف أخرى: مكتب، سفر، عمولة مبيعات، رخص SaaS أخرى؟</t>
        </is>
      </c>
      <c r="B35" s="2" t="n"/>
      <c r="C35" s="2" t="n"/>
    </row>
    <row r="36">
      <c r="A36" s="18" t="inlineStr">
        <is>
          <t>6. كم عميلًا تتوقع من موظف المبيعات شهريًا بشكل واقعي؟ (خطة الاكتساب)</t>
        </is>
      </c>
      <c r="B36" s="2" t="n"/>
      <c r="C3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60" customWidth="1" min="3" max="3"/>
  </cols>
  <sheetData>
    <row r="1">
      <c r="A1" s="19" t="inlineStr">
        <is>
          <t>الافتراضات الأساسية — سنة الإطلاق 2027</t>
        </is>
      </c>
      <c r="B1" s="2" t="n"/>
      <c r="C1" s="2" t="n"/>
    </row>
    <row r="2">
      <c r="A2" s="3" t="inlineStr">
        <is>
          <t>الخلايا الزرقاء على خلفية صفراء هي المدخلات التي تعدّلها. كل ما عداها معادلات.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البند</t>
        </is>
      </c>
      <c r="B4" s="4" t="inlineStr">
        <is>
          <t>القيمة</t>
        </is>
      </c>
      <c r="C4" s="4" t="inlineStr">
        <is>
          <t>المصدر / الملاحظة</t>
        </is>
      </c>
    </row>
    <row r="5">
      <c r="A5" s="5" t="inlineStr">
        <is>
          <t>تاريخ بداية السنة</t>
        </is>
      </c>
      <c r="B5" s="20" t="inlineStr">
        <is>
          <t>2027-01-01</t>
        </is>
      </c>
      <c r="C5" s="21" t="inlineStr">
        <is>
          <t>حسب طلبك: السنة تبدأ من شهر 1 ميلادي القادم</t>
        </is>
      </c>
    </row>
    <row r="6">
      <c r="A6" s="22" t="inlineStr">
        <is>
          <t>— التكاليف الثابتة الشهرية (ر.س) —</t>
        </is>
      </c>
      <c r="B6" s="23" t="n"/>
      <c r="C6" s="23" t="n"/>
    </row>
    <row r="7">
      <c r="A7" s="5" t="inlineStr">
        <is>
          <t>راتبك الشهري (المؤسس)</t>
        </is>
      </c>
      <c r="B7" s="24" t="n">
        <v>4000</v>
      </c>
      <c r="C7" s="21" t="inlineStr">
        <is>
          <t>رقمك</t>
        </is>
      </c>
    </row>
    <row r="8">
      <c r="A8" s="5" t="inlineStr">
        <is>
          <t>راتب موظف المبيعات</t>
        </is>
      </c>
      <c r="B8" s="24" t="n">
        <v>6000</v>
      </c>
      <c r="C8" s="21" t="inlineStr">
        <is>
          <t>رقمك</t>
        </is>
      </c>
    </row>
    <row r="9">
      <c r="A9" s="5" t="inlineStr">
        <is>
          <t>شهر بداية موظف المبيعات (1 = يناير)</t>
        </is>
      </c>
      <c r="B9" s="25" t="n">
        <v>1</v>
      </c>
      <c r="C9" s="21" t="inlineStr">
        <is>
          <t>افتراض: يبدأ من أول شهر. غيّره إذا ستوظفه لاحقًا</t>
        </is>
      </c>
    </row>
    <row r="10">
      <c r="A10" s="5" t="inlineStr">
        <is>
          <t>نسبة التأمينات الاجتماعية على الرواتب (حصة صاحب العمل)</t>
        </is>
      </c>
      <c r="B10" s="26" t="n">
        <v>0</v>
      </c>
      <c r="C10" s="21" t="inlineStr">
        <is>
          <t>قرارك 2026-10-13: بدون تأمينات اجتماعية في السنة الأولى. لو سجّلت لاحقًا فحصة صاحب العمل لموظف سعودي ≈ 11.75٪</t>
        </is>
      </c>
    </row>
    <row r="11">
      <c r="A11" s="5" t="inlineStr">
        <is>
          <t>أدوات الذكاء الاصطناعي</t>
        </is>
      </c>
      <c r="B11" s="24" t="n">
        <v>2000</v>
      </c>
      <c r="C11" s="21" t="inlineStr">
        <is>
          <t>رقمك</t>
        </is>
      </c>
    </row>
    <row r="12">
      <c r="A12" s="5" t="inlineStr">
        <is>
          <t>التسويق في الشهر الأول</t>
        </is>
      </c>
      <c r="B12" s="24" t="n">
        <v>1000</v>
      </c>
      <c r="C12" s="21" t="inlineStr">
        <is>
          <t>رقمك: يبدأ من 1,000</t>
        </is>
      </c>
    </row>
    <row r="13">
      <c r="A13" s="5" t="inlineStr">
        <is>
          <t>نسبة زيادة التسويق شهريًا</t>
        </is>
      </c>
      <c r="B13" s="26" t="n">
        <v>0.1</v>
      </c>
      <c r="C13" s="21" t="inlineStr">
        <is>
          <t>افتراض: زيادة 10٪ كل شهر. ضعها 0 لتثبيت 1,000</t>
        </is>
      </c>
    </row>
    <row r="14">
      <c r="A14" s="5" t="inlineStr">
        <is>
          <t>الاستضافة — المرحلة الأولى (شهري)</t>
        </is>
      </c>
      <c r="B14" s="24" t="n">
        <v>300</v>
      </c>
      <c r="C14" s="21" t="inlineStr">
        <is>
          <t>تقدير: Oracle Cloud منطقة الرياض (me-riyadh-1)، Ampere A1 بـ 4 OCPU و24 GB ≈ 56$ + تخزين 200 GB ونسخ احتياطي ≈ 80$ شهريًا ≈ 300 ر.س. السعر العالمي 0.01$/OCPU-ساعة و0.0015$/GB-ساعة (oracle.com/sa/cloud/price-list)؛ سعر الرياض قد يزيد قليلًا، يُراجع عند التعاقد. Google Cloud ليس له منطقة في الرياض (الدمام فقط)</t>
        </is>
      </c>
    </row>
    <row r="15">
      <c r="A15" s="5" t="inlineStr">
        <is>
          <t>الاستضافة — المرحلة الثانية (شهري)</t>
        </is>
      </c>
      <c r="B15" s="24" t="n">
        <v>600</v>
      </c>
      <c r="C15" s="21" t="inlineStr">
        <is>
          <t>تقدير: مضاعفة الموارد في الرياض إلى 8 OCPU و48 GB مع نسخ احتياطي إلى منطقة جدة. للمقارنة: Google Cloud الدمام e2-standard-4 ≈ 156$ + قرص ونسخ ≈ 200$ ≈ 750 ر.س، لكنه خارج الرياض</t>
        </is>
      </c>
    </row>
    <row r="16">
      <c r="A16" s="5" t="inlineStr">
        <is>
          <t>عدد العملاء الذي يستدعي المرحلة الثانية</t>
        </is>
      </c>
      <c r="B16" s="25" t="n">
        <v>30</v>
      </c>
      <c r="C16" s="21" t="inlineStr">
        <is>
          <t>افتراض: الانتقال عند 30 عميلًا نشطًا</t>
        </is>
      </c>
    </row>
    <row r="17">
      <c r="A17" s="5" t="inlineStr">
        <is>
          <t>أدوات وبرمجيات (نطاق، بريد، GitHub، أداة دعم)</t>
        </is>
      </c>
      <c r="B17" s="24" t="n">
        <v>300</v>
      </c>
      <c r="C17" s="21" t="inlineStr">
        <is>
          <t>افتراض</t>
        </is>
      </c>
    </row>
    <row r="18">
      <c r="A18" s="5" t="inlineStr">
        <is>
          <t>محاسبة وقانوني ورسوم حكومية (متوسط شهري)</t>
        </is>
      </c>
      <c r="B18" s="24" t="n">
        <v>500</v>
      </c>
      <c r="C18" s="21" t="inlineStr">
        <is>
          <t>افتراض: محاسب خارجي + سجل تجاري + منصة فوترة</t>
        </is>
      </c>
    </row>
    <row r="19">
      <c r="A19" s="22" t="inlineStr">
        <is>
          <t>— التسعير (ر.س، سنوي، شامل الضريبة) —</t>
        </is>
      </c>
      <c r="B19" s="23" t="n"/>
      <c r="C19" s="23" t="n"/>
    </row>
    <row r="20">
      <c r="A20" s="5" t="inlineStr">
        <is>
          <t>ضريبة القيمة المضافة</t>
        </is>
      </c>
      <c r="B20" s="26" t="n">
        <v>0.15</v>
      </c>
      <c r="C20" s="21" t="inlineStr">
        <is>
          <t>15٪. الإيراد الصافي = السعر ÷ 1.15</t>
        </is>
      </c>
    </row>
    <row r="21">
      <c r="A21" s="5" t="inlineStr">
        <is>
          <t>رسوم بوابة الدفع (نسبة من الفاتورة)</t>
        </is>
      </c>
      <c r="B21" s="26" t="n">
        <v>0.025</v>
      </c>
      <c r="C21" s="21" t="inlineStr">
        <is>
          <t>افتراض: 2.5٪ + رسم ثابت بسيط</t>
        </is>
      </c>
    </row>
    <row r="22">
      <c r="A22" s="5" t="inlineStr">
        <is>
          <t>الحزمة الكاملة (3 تطبيقات) — عرض الإطلاق</t>
        </is>
      </c>
      <c r="B22" s="24" t="n">
        <v>5250</v>
      </c>
      <c r="C22" s="21" t="inlineStr">
        <is>
          <t>من مسودة التسعير: ادفع 10 أشهر واستخدم 12</t>
        </is>
      </c>
    </row>
    <row r="23">
      <c r="A23" s="5" t="inlineStr">
        <is>
          <t>المشاريع فقط</t>
        </is>
      </c>
      <c r="B23" s="24" t="n">
        <v>2500</v>
      </c>
      <c r="C23" s="21" t="inlineStr">
        <is>
          <t>من مسودة التسعير</t>
        </is>
      </c>
    </row>
    <row r="24">
      <c r="A24" s="5" t="inlineStr">
        <is>
          <t>المشاريع + الموارد البشرية</t>
        </is>
      </c>
      <c r="B24" s="24" t="n">
        <v>4000</v>
      </c>
      <c r="C24" s="21" t="inlineStr">
        <is>
          <t>من مسودة التسعير (2,500 + 1,500)</t>
        </is>
      </c>
    </row>
    <row r="25">
      <c r="A25" s="5" t="inlineStr">
        <is>
          <t>الموارد البشرية فقط</t>
        </is>
      </c>
      <c r="B25" s="24" t="n">
        <v>1500</v>
      </c>
      <c r="C25" s="21" t="inlineStr">
        <is>
          <t>من مسودة التسعير</t>
        </is>
      </c>
    </row>
    <row r="26">
      <c r="A26" s="22" t="inlineStr">
        <is>
          <t>— مزيج العملاء المتوقع (مجموعه 100٪) —</t>
        </is>
      </c>
      <c r="B26" s="23" t="n"/>
      <c r="C26" s="23" t="n"/>
    </row>
    <row r="27">
      <c r="A27" s="5" t="inlineStr">
        <is>
          <t>نسبة عملاء الحزمة الكاملة</t>
        </is>
      </c>
      <c r="B27" s="26" t="n">
        <v>0.4</v>
      </c>
      <c r="C27" s="21" t="inlineStr">
        <is>
          <t>افتراض</t>
        </is>
      </c>
    </row>
    <row r="28">
      <c r="A28" s="5" t="inlineStr">
        <is>
          <t>نسبة عملاء المشاريع فقط</t>
        </is>
      </c>
      <c r="B28" s="26" t="n">
        <v>0.3</v>
      </c>
      <c r="C28" s="21" t="inlineStr">
        <is>
          <t>افتراض</t>
        </is>
      </c>
    </row>
    <row r="29">
      <c r="A29" s="5" t="inlineStr">
        <is>
          <t>نسبة عملاء المشاريع + الموارد البشرية</t>
        </is>
      </c>
      <c r="B29" s="26" t="n">
        <v>0.2</v>
      </c>
      <c r="C29" s="21" t="inlineStr">
        <is>
          <t>افتراض</t>
        </is>
      </c>
    </row>
    <row r="30">
      <c r="A30" s="5" t="inlineStr">
        <is>
          <t>نسبة عملاء الموارد البشرية فقط</t>
        </is>
      </c>
      <c r="B30" s="26" t="n">
        <v>0.1</v>
      </c>
      <c r="C30" s="21" t="inlineStr">
        <is>
          <t>افتراض</t>
        </is>
      </c>
    </row>
    <row r="31">
      <c r="A31" s="5" t="inlineStr">
        <is>
          <t>مجموع النسب (يجب أن يساوي 100٪)</t>
        </is>
      </c>
      <c r="B31" s="27">
        <f>B27+B28+B29+B30</f>
        <v/>
      </c>
      <c r="C31" s="21" t="inlineStr">
        <is>
          <t>تحقق</t>
        </is>
      </c>
    </row>
    <row r="32">
      <c r="A32" s="5" t="inlineStr">
        <is>
          <t>متوسط قيمة العقد السنوي شامل الضريبة</t>
        </is>
      </c>
      <c r="B32" s="28">
        <f>B22*B27+B23*B28+B24*B29+B25*B30</f>
        <v/>
      </c>
      <c r="C32" s="21" t="inlineStr">
        <is>
          <t>معادلة مرجحة بالمزيج</t>
        </is>
      </c>
    </row>
    <row r="33">
      <c r="A33" s="5" t="inlineStr">
        <is>
          <t>متوسط قيمة العقد السنوي صافي الضريبة</t>
        </is>
      </c>
      <c r="B33" s="28">
        <f>B32/(1+B20)</f>
        <v/>
      </c>
      <c r="C33" s="21" t="inlineStr"/>
    </row>
    <row r="34">
      <c r="A34" s="5" t="inlineStr">
        <is>
          <t>صافي العقد بعد رسوم الدفع</t>
        </is>
      </c>
      <c r="B34" s="28">
        <f>B33-B32*B21</f>
        <v/>
      </c>
      <c r="C34" s="21" t="inlineStr">
        <is>
          <t>رسوم البوابة تُحسب على المبلغ شامل الضريبة</t>
        </is>
      </c>
    </row>
    <row r="35">
      <c r="A35" s="22" t="inlineStr">
        <is>
          <t>— التكلفة المتغيرة لكل عميل شهريًا (ر.س) —</t>
        </is>
      </c>
      <c r="B35" s="23" t="n"/>
      <c r="C35" s="23" t="n"/>
    </row>
    <row r="36">
      <c r="A36" s="5" t="inlineStr">
        <is>
          <t>حوسبة وتخزين ونسخ احتياطي إضافية للعميل</t>
        </is>
      </c>
      <c r="B36" s="24" t="n">
        <v>25</v>
      </c>
      <c r="C36" s="21" t="inlineStr">
        <is>
          <t>افتراض: قاعدة بيانات وملفات مستقلة لكل عميل. يُقاس فعليًا بعد أول 3 أشهر</t>
        </is>
      </c>
    </row>
    <row r="37">
      <c r="A37" s="5" t="inlineStr">
        <is>
          <t>دعم فني: ساعات شهريًا لكل عميل</t>
        </is>
      </c>
      <c r="B37" s="25" t="n">
        <v>0.5</v>
      </c>
      <c r="C37" s="21" t="inlineStr">
        <is>
          <t>افتراض: نصف ساعة شهريًا بعد شهر الإعداد</t>
        </is>
      </c>
    </row>
    <row r="38">
      <c r="A38" s="5" t="inlineStr">
        <is>
          <t>تكلفة ساعة الدعم</t>
        </is>
      </c>
      <c r="B38" s="24" t="n">
        <v>50</v>
      </c>
      <c r="C38" s="21" t="inlineStr">
        <is>
          <t>افتراض: وقتك أو وقت موظف المبيعات محسوب بسعر السوق</t>
        </is>
      </c>
    </row>
    <row r="39">
      <c r="A39" s="5" t="inlineStr">
        <is>
          <t>إجمالي التكلفة المتغيرة لكل عميل شهريًا</t>
        </is>
      </c>
      <c r="B39" s="28">
        <f>B36+B37*B38</f>
        <v/>
      </c>
      <c r="C39" s="21" t="inlineStr"/>
    </row>
    <row r="40">
      <c r="A40" s="5" t="inlineStr">
        <is>
          <t>تكلفة إعداد عميل جديد (مرة واحدة)</t>
        </is>
      </c>
      <c r="B40" s="24" t="n">
        <v>200</v>
      </c>
      <c r="C40" s="21" t="inlineStr">
        <is>
          <t>افتراض: 4 ساعات إعداد ونقل بيانات × 50 ر.س</t>
        </is>
      </c>
    </row>
    <row r="41">
      <c r="A41" s="22" t="inlineStr">
        <is>
          <t>— خطة اكتساب العملاء (عملاء جدد كل شهر) —</t>
        </is>
      </c>
      <c r="B41" s="23" t="n"/>
      <c r="C41" s="23" t="n"/>
    </row>
    <row r="42">
      <c r="A42" s="5" t="inlineStr">
        <is>
          <t>عملاء جدد — يناير 2027</t>
        </is>
      </c>
      <c r="B42" s="25" t="n">
        <v>0</v>
      </c>
      <c r="C42" s="29" t="inlineStr">
        <is>
          <t>يناير: تجهيز وتسويق بلا إغلاق</t>
        </is>
      </c>
    </row>
    <row r="43">
      <c r="A43" s="5" t="inlineStr">
        <is>
          <t>عملاء جدد — فبراير 2027</t>
        </is>
      </c>
      <c r="B43" s="25" t="n">
        <v>1</v>
      </c>
      <c r="C43" s="29" t="inlineStr">
        <is>
          <t>افتراض: موظف مبيعات واحد يغلق 1–7 عملاء شهريًا</t>
        </is>
      </c>
    </row>
    <row r="44">
      <c r="A44" s="5" t="inlineStr">
        <is>
          <t>عملاء جدد — مارس 2027</t>
        </is>
      </c>
      <c r="B44" s="25" t="n">
        <v>2</v>
      </c>
      <c r="C44" s="29" t="inlineStr">
        <is>
          <t>افتراض: موظف مبيعات واحد يغلق 1–7 عملاء شهريًا</t>
        </is>
      </c>
    </row>
    <row r="45">
      <c r="A45" s="5" t="inlineStr">
        <is>
          <t>عملاء جدد — أبريل 2027</t>
        </is>
      </c>
      <c r="B45" s="25" t="n">
        <v>3</v>
      </c>
      <c r="C45" s="29" t="inlineStr">
        <is>
          <t>افتراض: موظف مبيعات واحد يغلق 1–7 عملاء شهريًا</t>
        </is>
      </c>
    </row>
    <row r="46">
      <c r="A46" s="5" t="inlineStr">
        <is>
          <t>عملاء جدد — مايو 2027</t>
        </is>
      </c>
      <c r="B46" s="25" t="n">
        <v>4</v>
      </c>
      <c r="C46" s="29" t="inlineStr">
        <is>
          <t>افتراض: موظف مبيعات واحد يغلق 1–7 عملاء شهريًا</t>
        </is>
      </c>
    </row>
    <row r="47">
      <c r="A47" s="5" t="inlineStr">
        <is>
          <t>عملاء جدد — يونيو 2027</t>
        </is>
      </c>
      <c r="B47" s="25" t="n">
        <v>4</v>
      </c>
      <c r="C47" s="29" t="inlineStr">
        <is>
          <t>افتراض: موظف مبيعات واحد يغلق 1–7 عملاء شهريًا</t>
        </is>
      </c>
    </row>
    <row r="48">
      <c r="A48" s="5" t="inlineStr">
        <is>
          <t>عملاء جدد — يوليو 2027</t>
        </is>
      </c>
      <c r="B48" s="25" t="n">
        <v>5</v>
      </c>
      <c r="C48" s="29" t="inlineStr">
        <is>
          <t>افتراض: موظف مبيعات واحد يغلق 1–7 عملاء شهريًا</t>
        </is>
      </c>
    </row>
    <row r="49">
      <c r="A49" s="5" t="inlineStr">
        <is>
          <t>عملاء جدد — أغسطس 2027</t>
        </is>
      </c>
      <c r="B49" s="25" t="n">
        <v>5</v>
      </c>
      <c r="C49" s="29" t="inlineStr">
        <is>
          <t>افتراض: موظف مبيعات واحد يغلق 1–7 عملاء شهريًا</t>
        </is>
      </c>
    </row>
    <row r="50">
      <c r="A50" s="5" t="inlineStr">
        <is>
          <t>عملاء جدد — سبتمبر 2027</t>
        </is>
      </c>
      <c r="B50" s="25" t="n">
        <v>6</v>
      </c>
      <c r="C50" s="29" t="inlineStr">
        <is>
          <t>افتراض: موظف مبيعات واحد يغلق 1–7 عملاء شهريًا</t>
        </is>
      </c>
    </row>
    <row r="51">
      <c r="A51" s="5" t="inlineStr">
        <is>
          <t>عملاء جدد — أكتوبر 2027</t>
        </is>
      </c>
      <c r="B51" s="25" t="n">
        <v>6</v>
      </c>
      <c r="C51" s="29" t="inlineStr">
        <is>
          <t>افتراض: موظف مبيعات واحد يغلق 1–7 عملاء شهريًا</t>
        </is>
      </c>
    </row>
    <row r="52">
      <c r="A52" s="5" t="inlineStr">
        <is>
          <t>عملاء جدد — نوفمبر 2027</t>
        </is>
      </c>
      <c r="B52" s="25" t="n">
        <v>7</v>
      </c>
      <c r="C52" s="29" t="inlineStr">
        <is>
          <t>افتراض: موظف مبيعات واحد يغلق 1–7 عملاء شهريًا</t>
        </is>
      </c>
    </row>
    <row r="53">
      <c r="A53" s="5" t="inlineStr">
        <is>
          <t>عملاء جدد — ديسمبر 2027</t>
        </is>
      </c>
      <c r="B53" s="25" t="n">
        <v>7</v>
      </c>
      <c r="C53" s="29" t="inlineStr">
        <is>
          <t>افتراض: موظف مبيعات واحد يغلق 1–7 عملاء شهريًا</t>
        </is>
      </c>
    </row>
    <row r="54">
      <c r="A54" s="9" t="inlineStr">
        <is>
          <t>إجمالي العملاء الجدد في السنة</t>
        </is>
      </c>
      <c r="B54" s="30">
        <f>SUM(B42:B53)</f>
        <v/>
      </c>
      <c r="C54" s="2" t="n"/>
    </row>
    <row r="55">
      <c r="A55" s="5" t="inlineStr">
        <is>
          <t>نسبة الفقد الشهري للعملاء</t>
        </is>
      </c>
      <c r="B55" s="26" t="n">
        <v>0</v>
      </c>
      <c r="C55" s="18" t="inlineStr">
        <is>
          <t>افتراض: صفر في السنة الأولى لأن العقود سنوية مدفوعة مقدمًا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9" t="inlineStr">
        <is>
          <t>الإيرادات والتكاليف الشهرية — 2027 (ر.س)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الإيراد النقدي = ما يُقبض فعلًا (دفع سنوي مقدمًا). الإيراد المحاسبي = العقد موزعًا على 12 شهرًا.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البند</t>
        </is>
      </c>
      <c r="B4" s="4" t="inlineStr">
        <is>
          <t>يناير 2027</t>
        </is>
      </c>
      <c r="C4" s="4" t="inlineStr">
        <is>
          <t>فبراير 2027</t>
        </is>
      </c>
      <c r="D4" s="4" t="inlineStr">
        <is>
          <t>مارس 2027</t>
        </is>
      </c>
      <c r="E4" s="4" t="inlineStr">
        <is>
          <t>أبريل 2027</t>
        </is>
      </c>
      <c r="F4" s="4" t="inlineStr">
        <is>
          <t>مايو 2027</t>
        </is>
      </c>
      <c r="G4" s="4" t="inlineStr">
        <is>
          <t>يونيو 2027</t>
        </is>
      </c>
      <c r="H4" s="4" t="inlineStr">
        <is>
          <t>يوليو 2027</t>
        </is>
      </c>
      <c r="I4" s="4" t="inlineStr">
        <is>
          <t>أغسطس 2027</t>
        </is>
      </c>
      <c r="J4" s="4" t="inlineStr">
        <is>
          <t>سبتمبر 2027</t>
        </is>
      </c>
      <c r="K4" s="4" t="inlineStr">
        <is>
          <t>أكتوبر 2027</t>
        </is>
      </c>
      <c r="L4" s="4" t="inlineStr">
        <is>
          <t>نوفمبر 2027</t>
        </is>
      </c>
      <c r="M4" s="4" t="inlineStr">
        <is>
          <t>ديسمبر 2027</t>
        </is>
      </c>
      <c r="N4" s="4" t="inlineStr">
        <is>
          <t>إجمالي السنة</t>
        </is>
      </c>
    </row>
    <row r="5">
      <c r="A5" s="5" t="inlineStr">
        <is>
          <t>رقم الشهر</t>
        </is>
      </c>
      <c r="B5" s="31" t="n">
        <v>1</v>
      </c>
      <c r="C5" s="31" t="n">
        <v>2</v>
      </c>
      <c r="D5" s="31" t="n">
        <v>3</v>
      </c>
      <c r="E5" s="31" t="n">
        <v>4</v>
      </c>
      <c r="F5" s="31" t="n">
        <v>5</v>
      </c>
      <c r="G5" s="31" t="n">
        <v>6</v>
      </c>
      <c r="H5" s="31" t="n">
        <v>7</v>
      </c>
      <c r="I5" s="31" t="n">
        <v>8</v>
      </c>
      <c r="J5" s="31" t="n">
        <v>9</v>
      </c>
      <c r="K5" s="31" t="n">
        <v>10</v>
      </c>
      <c r="L5" s="31" t="n">
        <v>11</v>
      </c>
      <c r="M5" s="31" t="n">
        <v>12</v>
      </c>
      <c r="N5" s="2" t="n"/>
    </row>
    <row r="6">
      <c r="A6" s="9" t="inlineStr">
        <is>
          <t>عملاء جدد</t>
        </is>
      </c>
      <c r="B6" s="11">
        <f>الافتراضات!$B$42</f>
        <v/>
      </c>
      <c r="C6" s="11">
        <f>الافتراضات!$B$43</f>
        <v/>
      </c>
      <c r="D6" s="11">
        <f>الافتراضات!$B$44</f>
        <v/>
      </c>
      <c r="E6" s="11">
        <f>الافتراضات!$B$45</f>
        <v/>
      </c>
      <c r="F6" s="11">
        <f>الافتراضات!$B$46</f>
        <v/>
      </c>
      <c r="G6" s="11">
        <f>الافتراضات!$B$47</f>
        <v/>
      </c>
      <c r="H6" s="11">
        <f>الافتراضات!$B$48</f>
        <v/>
      </c>
      <c r="I6" s="11">
        <f>الافتراضات!$B$49</f>
        <v/>
      </c>
      <c r="J6" s="11">
        <f>الافتراضات!$B$50</f>
        <v/>
      </c>
      <c r="K6" s="11">
        <f>الافتراضات!$B$51</f>
        <v/>
      </c>
      <c r="L6" s="11">
        <f>الافتراضات!$B$52</f>
        <v/>
      </c>
      <c r="M6" s="11">
        <f>الافتراضات!$B$53</f>
        <v/>
      </c>
      <c r="N6" s="32">
        <f>SUM(B6:M6)</f>
        <v/>
      </c>
    </row>
    <row r="7">
      <c r="A7" s="5" t="inlineStr">
        <is>
          <t>عملاء مغادرون</t>
        </is>
      </c>
      <c r="B7" s="31">
        <f>ROUND(0*الافتراضات!$B$55,0)</f>
        <v/>
      </c>
      <c r="C7" s="31">
        <f>ROUND(B8*الافتراضات!$B$55,0)</f>
        <v/>
      </c>
      <c r="D7" s="31">
        <f>ROUND(C8*الافتراضات!$B$55,0)</f>
        <v/>
      </c>
      <c r="E7" s="31">
        <f>ROUND(D8*الافتراضات!$B$55,0)</f>
        <v/>
      </c>
      <c r="F7" s="31">
        <f>ROUND(E8*الافتراضات!$B$55,0)</f>
        <v/>
      </c>
      <c r="G7" s="31">
        <f>ROUND(F8*الافتراضات!$B$55,0)</f>
        <v/>
      </c>
      <c r="H7" s="31">
        <f>ROUND(G8*الافتراضات!$B$55,0)</f>
        <v/>
      </c>
      <c r="I7" s="31">
        <f>ROUND(H8*الافتراضات!$B$55,0)</f>
        <v/>
      </c>
      <c r="J7" s="31">
        <f>ROUND(I8*الافتراضات!$B$55,0)</f>
        <v/>
      </c>
      <c r="K7" s="31">
        <f>ROUND(J8*الافتراضات!$B$55,0)</f>
        <v/>
      </c>
      <c r="L7" s="31">
        <f>ROUND(K8*الافتراضات!$B$55,0)</f>
        <v/>
      </c>
      <c r="M7" s="31">
        <f>ROUND(L8*الافتراضات!$B$55,0)</f>
        <v/>
      </c>
      <c r="N7" s="32">
        <f>SUM(B7:M7)</f>
        <v/>
      </c>
    </row>
    <row r="8">
      <c r="A8" s="33" t="inlineStr">
        <is>
          <t>العملاء النشطون نهاية الشهر</t>
        </is>
      </c>
      <c r="B8" s="32">
        <f>0+B6-B7</f>
        <v/>
      </c>
      <c r="C8" s="32">
        <f>B8+C6-C7</f>
        <v/>
      </c>
      <c r="D8" s="32">
        <f>C8+D6-D7</f>
        <v/>
      </c>
      <c r="E8" s="32">
        <f>D8+E6-E7</f>
        <v/>
      </c>
      <c r="F8" s="32">
        <f>E8+F6-F7</f>
        <v/>
      </c>
      <c r="G8" s="32">
        <f>F8+G6-G7</f>
        <v/>
      </c>
      <c r="H8" s="32">
        <f>G8+H6-H7</f>
        <v/>
      </c>
      <c r="I8" s="32">
        <f>H8+I6-I7</f>
        <v/>
      </c>
      <c r="J8" s="32">
        <f>I8+J6-J7</f>
        <v/>
      </c>
      <c r="K8" s="32">
        <f>J8+K6-K7</f>
        <v/>
      </c>
      <c r="L8" s="32">
        <f>K8+L6-L7</f>
        <v/>
      </c>
      <c r="M8" s="32">
        <f>L8+M6-M7</f>
        <v/>
      </c>
      <c r="N8" s="32">
        <f>M8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34" t="inlineStr">
        <is>
          <t>— الإيرادات —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9" t="inlineStr">
        <is>
          <t>الإيراد النقدي المقبوض (صافي الضريبة ورسوم الدفع)</t>
        </is>
      </c>
      <c r="B11" s="28">
        <f>B6*الافتراضات!$B$34</f>
        <v/>
      </c>
      <c r="C11" s="28">
        <f>C6*الافتراضات!$B$34</f>
        <v/>
      </c>
      <c r="D11" s="28">
        <f>D6*الافتراضات!$B$34</f>
        <v/>
      </c>
      <c r="E11" s="28">
        <f>E6*الافتراضات!$B$34</f>
        <v/>
      </c>
      <c r="F11" s="28">
        <f>F6*الافتراضات!$B$34</f>
        <v/>
      </c>
      <c r="G11" s="28">
        <f>G6*الافتراضات!$B$34</f>
        <v/>
      </c>
      <c r="H11" s="28">
        <f>H6*الافتراضات!$B$34</f>
        <v/>
      </c>
      <c r="I11" s="28">
        <f>I6*الافتراضات!$B$34</f>
        <v/>
      </c>
      <c r="J11" s="28">
        <f>J6*الافتراضات!$B$34</f>
        <v/>
      </c>
      <c r="K11" s="28">
        <f>K6*الافتراضات!$B$34</f>
        <v/>
      </c>
      <c r="L11" s="28">
        <f>L6*الافتراضات!$B$34</f>
        <v/>
      </c>
      <c r="M11" s="28">
        <f>M6*الافتراضات!$B$34</f>
        <v/>
      </c>
      <c r="N11" s="35">
        <f>SUM(B11:M11)</f>
        <v/>
      </c>
    </row>
    <row r="12">
      <c r="A12" s="5" t="inlineStr">
        <is>
          <t>الإيراد المحاسبي للشهر (العقد ÷ 12)</t>
        </is>
      </c>
      <c r="B12" s="28">
        <f>B8*الافتراضات!$B$34/12</f>
        <v/>
      </c>
      <c r="C12" s="28">
        <f>C8*الافتراضات!$B$34/12</f>
        <v/>
      </c>
      <c r="D12" s="28">
        <f>D8*الافتراضات!$B$34/12</f>
        <v/>
      </c>
      <c r="E12" s="28">
        <f>E8*الافتراضات!$B$34/12</f>
        <v/>
      </c>
      <c r="F12" s="28">
        <f>F8*الافتراضات!$B$34/12</f>
        <v/>
      </c>
      <c r="G12" s="28">
        <f>G8*الافتراضات!$B$34/12</f>
        <v/>
      </c>
      <c r="H12" s="28">
        <f>H8*الافتراضات!$B$34/12</f>
        <v/>
      </c>
      <c r="I12" s="28">
        <f>I8*الافتراضات!$B$34/12</f>
        <v/>
      </c>
      <c r="J12" s="28">
        <f>J8*الافتراضات!$B$34/12</f>
        <v/>
      </c>
      <c r="K12" s="28">
        <f>K8*الافتراضات!$B$34/12</f>
        <v/>
      </c>
      <c r="L12" s="28">
        <f>L8*الافتراضات!$B$34/12</f>
        <v/>
      </c>
      <c r="M12" s="28">
        <f>M8*الافتراضات!$B$34/12</f>
        <v/>
      </c>
      <c r="N12" s="35">
        <f>SUM(B12:M12)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34" t="inlineStr">
        <is>
          <t>— التكاليف الثابتة —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5" t="inlineStr">
        <is>
          <t>راتب المؤسس</t>
        </is>
      </c>
      <c r="B15" s="28">
        <f>الافتراضات!$B$7</f>
        <v/>
      </c>
      <c r="C15" s="28">
        <f>الافتراضات!$B$7</f>
        <v/>
      </c>
      <c r="D15" s="28">
        <f>الافتراضات!$B$7</f>
        <v/>
      </c>
      <c r="E15" s="28">
        <f>الافتراضات!$B$7</f>
        <v/>
      </c>
      <c r="F15" s="28">
        <f>الافتراضات!$B$7</f>
        <v/>
      </c>
      <c r="G15" s="28">
        <f>الافتراضات!$B$7</f>
        <v/>
      </c>
      <c r="H15" s="28">
        <f>الافتراضات!$B$7</f>
        <v/>
      </c>
      <c r="I15" s="28">
        <f>الافتراضات!$B$7</f>
        <v/>
      </c>
      <c r="J15" s="28">
        <f>الافتراضات!$B$7</f>
        <v/>
      </c>
      <c r="K15" s="28">
        <f>الافتراضات!$B$7</f>
        <v/>
      </c>
      <c r="L15" s="28">
        <f>الافتراضات!$B$7</f>
        <v/>
      </c>
      <c r="M15" s="28">
        <f>الافتراضات!$B$7</f>
        <v/>
      </c>
      <c r="N15" s="35">
        <f>SUM(B15:M15)</f>
        <v/>
      </c>
    </row>
    <row r="16">
      <c r="A16" s="5" t="inlineStr">
        <is>
          <t>راتب موظف المبيعات</t>
        </is>
      </c>
      <c r="B16" s="28">
        <f>IF(B5&gt;=الافتراضات!$B$9,الافتراضات!$B$8,0)</f>
        <v/>
      </c>
      <c r="C16" s="28">
        <f>IF(C5&gt;=الافتراضات!$B$9,الافتراضات!$B$8,0)</f>
        <v/>
      </c>
      <c r="D16" s="28">
        <f>IF(D5&gt;=الافتراضات!$B$9,الافتراضات!$B$8,0)</f>
        <v/>
      </c>
      <c r="E16" s="28">
        <f>IF(E5&gt;=الافتراضات!$B$9,الافتراضات!$B$8,0)</f>
        <v/>
      </c>
      <c r="F16" s="28">
        <f>IF(F5&gt;=الافتراضات!$B$9,الافتراضات!$B$8,0)</f>
        <v/>
      </c>
      <c r="G16" s="28">
        <f>IF(G5&gt;=الافتراضات!$B$9,الافتراضات!$B$8,0)</f>
        <v/>
      </c>
      <c r="H16" s="28">
        <f>IF(H5&gt;=الافتراضات!$B$9,الافتراضات!$B$8,0)</f>
        <v/>
      </c>
      <c r="I16" s="28">
        <f>IF(I5&gt;=الافتراضات!$B$9,الافتراضات!$B$8,0)</f>
        <v/>
      </c>
      <c r="J16" s="28">
        <f>IF(J5&gt;=الافتراضات!$B$9,الافتراضات!$B$8,0)</f>
        <v/>
      </c>
      <c r="K16" s="28">
        <f>IF(K5&gt;=الافتراضات!$B$9,الافتراضات!$B$8,0)</f>
        <v/>
      </c>
      <c r="L16" s="28">
        <f>IF(L5&gt;=الافتراضات!$B$9,الافتراضات!$B$8,0)</f>
        <v/>
      </c>
      <c r="M16" s="28">
        <f>IF(M5&gt;=الافتراضات!$B$9,الافتراضات!$B$8,0)</f>
        <v/>
      </c>
      <c r="N16" s="35">
        <f>SUM(B16:M16)</f>
        <v/>
      </c>
    </row>
    <row r="17">
      <c r="A17" s="5" t="inlineStr">
        <is>
          <t>التأمينات الاجتماعية (حصة صاحب العمل)</t>
        </is>
      </c>
      <c r="B17" s="28">
        <f>(B15+B16)*الافتراضات!$B$10</f>
        <v/>
      </c>
      <c r="C17" s="28">
        <f>(C15+C16)*الافتراضات!$B$10</f>
        <v/>
      </c>
      <c r="D17" s="28">
        <f>(D15+D16)*الافتراضات!$B$10</f>
        <v/>
      </c>
      <c r="E17" s="28">
        <f>(E15+E16)*الافتراضات!$B$10</f>
        <v/>
      </c>
      <c r="F17" s="28">
        <f>(F15+F16)*الافتراضات!$B$10</f>
        <v/>
      </c>
      <c r="G17" s="28">
        <f>(G15+G16)*الافتراضات!$B$10</f>
        <v/>
      </c>
      <c r="H17" s="28">
        <f>(H15+H16)*الافتراضات!$B$10</f>
        <v/>
      </c>
      <c r="I17" s="28">
        <f>(I15+I16)*الافتراضات!$B$10</f>
        <v/>
      </c>
      <c r="J17" s="28">
        <f>(J15+J16)*الافتراضات!$B$10</f>
        <v/>
      </c>
      <c r="K17" s="28">
        <f>(K15+K16)*الافتراضات!$B$10</f>
        <v/>
      </c>
      <c r="L17" s="28">
        <f>(L15+L16)*الافتراضات!$B$10</f>
        <v/>
      </c>
      <c r="M17" s="28">
        <f>(M15+M16)*الافتراضات!$B$10</f>
        <v/>
      </c>
      <c r="N17" s="35">
        <f>SUM(B17:M17)</f>
        <v/>
      </c>
    </row>
    <row r="18">
      <c r="A18" s="5" t="inlineStr">
        <is>
          <t>أدوات الذكاء الاصطناعي</t>
        </is>
      </c>
      <c r="B18" s="28">
        <f>الافتراضات!$B$11</f>
        <v/>
      </c>
      <c r="C18" s="28">
        <f>الافتراضات!$B$11</f>
        <v/>
      </c>
      <c r="D18" s="28">
        <f>الافتراضات!$B$11</f>
        <v/>
      </c>
      <c r="E18" s="28">
        <f>الافتراضات!$B$11</f>
        <v/>
      </c>
      <c r="F18" s="28">
        <f>الافتراضات!$B$11</f>
        <v/>
      </c>
      <c r="G18" s="28">
        <f>الافتراضات!$B$11</f>
        <v/>
      </c>
      <c r="H18" s="28">
        <f>الافتراضات!$B$11</f>
        <v/>
      </c>
      <c r="I18" s="28">
        <f>الافتراضات!$B$11</f>
        <v/>
      </c>
      <c r="J18" s="28">
        <f>الافتراضات!$B$11</f>
        <v/>
      </c>
      <c r="K18" s="28">
        <f>الافتراضات!$B$11</f>
        <v/>
      </c>
      <c r="L18" s="28">
        <f>الافتراضات!$B$11</f>
        <v/>
      </c>
      <c r="M18" s="28">
        <f>الافتراضات!$B$11</f>
        <v/>
      </c>
      <c r="N18" s="35">
        <f>SUM(B18:M18)</f>
        <v/>
      </c>
    </row>
    <row r="19">
      <c r="A19" s="5" t="inlineStr">
        <is>
          <t>التسويق</t>
        </is>
      </c>
      <c r="B19" s="28">
        <f>الافتراضات!$B$12</f>
        <v/>
      </c>
      <c r="C19" s="28">
        <f>B19*(1+الافتراضات!$B$13)</f>
        <v/>
      </c>
      <c r="D19" s="28">
        <f>C19*(1+الافتراضات!$B$13)</f>
        <v/>
      </c>
      <c r="E19" s="28">
        <f>D19*(1+الافتراضات!$B$13)</f>
        <v/>
      </c>
      <c r="F19" s="28">
        <f>E19*(1+الافتراضات!$B$13)</f>
        <v/>
      </c>
      <c r="G19" s="28">
        <f>F19*(1+الافتراضات!$B$13)</f>
        <v/>
      </c>
      <c r="H19" s="28">
        <f>G19*(1+الافتراضات!$B$13)</f>
        <v/>
      </c>
      <c r="I19" s="28">
        <f>H19*(1+الافتراضات!$B$13)</f>
        <v/>
      </c>
      <c r="J19" s="28">
        <f>I19*(1+الافتراضات!$B$13)</f>
        <v/>
      </c>
      <c r="K19" s="28">
        <f>J19*(1+الافتراضات!$B$13)</f>
        <v/>
      </c>
      <c r="L19" s="28">
        <f>K19*(1+الافتراضات!$B$13)</f>
        <v/>
      </c>
      <c r="M19" s="28">
        <f>L19*(1+الافتراضات!$B$13)</f>
        <v/>
      </c>
      <c r="N19" s="35">
        <f>SUM(B19:M19)</f>
        <v/>
      </c>
    </row>
    <row r="20">
      <c r="A20" s="5" t="inlineStr">
        <is>
          <t>الاستضافة</t>
        </is>
      </c>
      <c r="B20" s="28">
        <f>IF(B8&gt;=الافتراضات!$B$16,الافتراضات!$B$15,الافتراضات!$B$14)</f>
        <v/>
      </c>
      <c r="C20" s="28">
        <f>IF(C8&gt;=الافتراضات!$B$16,الافتراضات!$B$15,الافتراضات!$B$14)</f>
        <v/>
      </c>
      <c r="D20" s="28">
        <f>IF(D8&gt;=الافتراضات!$B$16,الافتراضات!$B$15,الافتراضات!$B$14)</f>
        <v/>
      </c>
      <c r="E20" s="28">
        <f>IF(E8&gt;=الافتراضات!$B$16,الافتراضات!$B$15,الافتراضات!$B$14)</f>
        <v/>
      </c>
      <c r="F20" s="28">
        <f>IF(F8&gt;=الافتراضات!$B$16,الافتراضات!$B$15,الافتراضات!$B$14)</f>
        <v/>
      </c>
      <c r="G20" s="28">
        <f>IF(G8&gt;=الافتراضات!$B$16,الافتراضات!$B$15,الافتراضات!$B$14)</f>
        <v/>
      </c>
      <c r="H20" s="28">
        <f>IF(H8&gt;=الافتراضات!$B$16,الافتراضات!$B$15,الافتراضات!$B$14)</f>
        <v/>
      </c>
      <c r="I20" s="28">
        <f>IF(I8&gt;=الافتراضات!$B$16,الافتراضات!$B$15,الافتراضات!$B$14)</f>
        <v/>
      </c>
      <c r="J20" s="28">
        <f>IF(J8&gt;=الافتراضات!$B$16,الافتراضات!$B$15,الافتراضات!$B$14)</f>
        <v/>
      </c>
      <c r="K20" s="28">
        <f>IF(K8&gt;=الافتراضات!$B$16,الافتراضات!$B$15,الافتراضات!$B$14)</f>
        <v/>
      </c>
      <c r="L20" s="28">
        <f>IF(L8&gt;=الافتراضات!$B$16,الافتراضات!$B$15,الافتراضات!$B$14)</f>
        <v/>
      </c>
      <c r="M20" s="28">
        <f>IF(M8&gt;=الافتراضات!$B$16,الافتراضات!$B$15,الافتراضات!$B$14)</f>
        <v/>
      </c>
      <c r="N20" s="35">
        <f>SUM(B20:M20)</f>
        <v/>
      </c>
    </row>
    <row r="21">
      <c r="A21" s="5" t="inlineStr">
        <is>
          <t>أدوات وبرمجيات</t>
        </is>
      </c>
      <c r="B21" s="28">
        <f>الافتراضات!$B$17</f>
        <v/>
      </c>
      <c r="C21" s="28">
        <f>الافتراضات!$B$17</f>
        <v/>
      </c>
      <c r="D21" s="28">
        <f>الافتراضات!$B$17</f>
        <v/>
      </c>
      <c r="E21" s="28">
        <f>الافتراضات!$B$17</f>
        <v/>
      </c>
      <c r="F21" s="28">
        <f>الافتراضات!$B$17</f>
        <v/>
      </c>
      <c r="G21" s="28">
        <f>الافتراضات!$B$17</f>
        <v/>
      </c>
      <c r="H21" s="28">
        <f>الافتراضات!$B$17</f>
        <v/>
      </c>
      <c r="I21" s="28">
        <f>الافتراضات!$B$17</f>
        <v/>
      </c>
      <c r="J21" s="28">
        <f>الافتراضات!$B$17</f>
        <v/>
      </c>
      <c r="K21" s="28">
        <f>الافتراضات!$B$17</f>
        <v/>
      </c>
      <c r="L21" s="28">
        <f>الافتراضات!$B$17</f>
        <v/>
      </c>
      <c r="M21" s="28">
        <f>الافتراضات!$B$17</f>
        <v/>
      </c>
      <c r="N21" s="35">
        <f>SUM(B21:M21)</f>
        <v/>
      </c>
    </row>
    <row r="22">
      <c r="A22" s="5" t="inlineStr">
        <is>
          <t>محاسبة وقانوني ورسوم</t>
        </is>
      </c>
      <c r="B22" s="28">
        <f>الافتراضات!$B$18</f>
        <v/>
      </c>
      <c r="C22" s="28">
        <f>الافتراضات!$B$18</f>
        <v/>
      </c>
      <c r="D22" s="28">
        <f>الافتراضات!$B$18</f>
        <v/>
      </c>
      <c r="E22" s="28">
        <f>الافتراضات!$B$18</f>
        <v/>
      </c>
      <c r="F22" s="28">
        <f>الافتراضات!$B$18</f>
        <v/>
      </c>
      <c r="G22" s="28">
        <f>الافتراضات!$B$18</f>
        <v/>
      </c>
      <c r="H22" s="28">
        <f>الافتراضات!$B$18</f>
        <v/>
      </c>
      <c r="I22" s="28">
        <f>الافتراضات!$B$18</f>
        <v/>
      </c>
      <c r="J22" s="28">
        <f>الافتراضات!$B$18</f>
        <v/>
      </c>
      <c r="K22" s="28">
        <f>الافتراضات!$B$18</f>
        <v/>
      </c>
      <c r="L22" s="28">
        <f>الافتراضات!$B$18</f>
        <v/>
      </c>
      <c r="M22" s="28">
        <f>الافتراضات!$B$18</f>
        <v/>
      </c>
      <c r="N22" s="35">
        <f>SUM(B22:M22)</f>
        <v/>
      </c>
    </row>
    <row r="23">
      <c r="A23" s="33" t="inlineStr">
        <is>
          <t>إجمالي التكاليف الثابتة</t>
        </is>
      </c>
      <c r="B23" s="35">
        <f>SUM(B15:B22)</f>
        <v/>
      </c>
      <c r="C23" s="35">
        <f>SUM(C15:C22)</f>
        <v/>
      </c>
      <c r="D23" s="35">
        <f>SUM(D15:D22)</f>
        <v/>
      </c>
      <c r="E23" s="35">
        <f>SUM(E15:E22)</f>
        <v/>
      </c>
      <c r="F23" s="35">
        <f>SUM(F15:F22)</f>
        <v/>
      </c>
      <c r="G23" s="35">
        <f>SUM(G15:G22)</f>
        <v/>
      </c>
      <c r="H23" s="35">
        <f>SUM(H15:H22)</f>
        <v/>
      </c>
      <c r="I23" s="35">
        <f>SUM(I15:I22)</f>
        <v/>
      </c>
      <c r="J23" s="35">
        <f>SUM(J15:J22)</f>
        <v/>
      </c>
      <c r="K23" s="35">
        <f>SUM(K15:K22)</f>
        <v/>
      </c>
      <c r="L23" s="35">
        <f>SUM(L15:L22)</f>
        <v/>
      </c>
      <c r="M23" s="35">
        <f>SUM(M15:M22)</f>
        <v/>
      </c>
      <c r="N23" s="35">
        <f>SUM(B23:M23)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34" t="inlineStr">
        <is>
          <t>— التكاليف المتغيرة —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5" t="inlineStr">
        <is>
          <t>تشغيل ودعم العملاء النشطين</t>
        </is>
      </c>
      <c r="B26" s="28">
        <f>B8*الافتراضات!$B$39</f>
        <v/>
      </c>
      <c r="C26" s="28">
        <f>C8*الافتراضات!$B$39</f>
        <v/>
      </c>
      <c r="D26" s="28">
        <f>D8*الافتراضات!$B$39</f>
        <v/>
      </c>
      <c r="E26" s="28">
        <f>E8*الافتراضات!$B$39</f>
        <v/>
      </c>
      <c r="F26" s="28">
        <f>F8*الافتراضات!$B$39</f>
        <v/>
      </c>
      <c r="G26" s="28">
        <f>G8*الافتراضات!$B$39</f>
        <v/>
      </c>
      <c r="H26" s="28">
        <f>H8*الافتراضات!$B$39</f>
        <v/>
      </c>
      <c r="I26" s="28">
        <f>I8*الافتراضات!$B$39</f>
        <v/>
      </c>
      <c r="J26" s="28">
        <f>J8*الافتراضات!$B$39</f>
        <v/>
      </c>
      <c r="K26" s="28">
        <f>K8*الافتراضات!$B$39</f>
        <v/>
      </c>
      <c r="L26" s="28">
        <f>L8*الافتراضات!$B$39</f>
        <v/>
      </c>
      <c r="M26" s="28">
        <f>M8*الافتراضات!$B$39</f>
        <v/>
      </c>
      <c r="N26" s="35">
        <f>SUM(B26:M26)</f>
        <v/>
      </c>
    </row>
    <row r="27">
      <c r="A27" s="5" t="inlineStr">
        <is>
          <t>إعداد العملاء الجدد</t>
        </is>
      </c>
      <c r="B27" s="28">
        <f>B6*الافتراضات!$B$40</f>
        <v/>
      </c>
      <c r="C27" s="28">
        <f>C6*الافتراضات!$B$40</f>
        <v/>
      </c>
      <c r="D27" s="28">
        <f>D6*الافتراضات!$B$40</f>
        <v/>
      </c>
      <c r="E27" s="28">
        <f>E6*الافتراضات!$B$40</f>
        <v/>
      </c>
      <c r="F27" s="28">
        <f>F6*الافتراضات!$B$40</f>
        <v/>
      </c>
      <c r="G27" s="28">
        <f>G6*الافتراضات!$B$40</f>
        <v/>
      </c>
      <c r="H27" s="28">
        <f>H6*الافتراضات!$B$40</f>
        <v/>
      </c>
      <c r="I27" s="28">
        <f>I6*الافتراضات!$B$40</f>
        <v/>
      </c>
      <c r="J27" s="28">
        <f>J6*الافتراضات!$B$40</f>
        <v/>
      </c>
      <c r="K27" s="28">
        <f>K6*الافتراضات!$B$40</f>
        <v/>
      </c>
      <c r="L27" s="28">
        <f>L6*الافتراضات!$B$40</f>
        <v/>
      </c>
      <c r="M27" s="28">
        <f>M6*الافتراضات!$B$40</f>
        <v/>
      </c>
      <c r="N27" s="35">
        <f>SUM(B27:M27)</f>
        <v/>
      </c>
    </row>
    <row r="28">
      <c r="A28" s="33" t="inlineStr">
        <is>
          <t>إجمالي التكاليف المتغيرة</t>
        </is>
      </c>
      <c r="B28" s="35">
        <f>B26+B27</f>
        <v/>
      </c>
      <c r="C28" s="35">
        <f>C26+C27</f>
        <v/>
      </c>
      <c r="D28" s="35">
        <f>D26+D27</f>
        <v/>
      </c>
      <c r="E28" s="35">
        <f>E26+E27</f>
        <v/>
      </c>
      <c r="F28" s="35">
        <f>F26+F27</f>
        <v/>
      </c>
      <c r="G28" s="35">
        <f>G26+G27</f>
        <v/>
      </c>
      <c r="H28" s="35">
        <f>H26+H27</f>
        <v/>
      </c>
      <c r="I28" s="35">
        <f>I26+I27</f>
        <v/>
      </c>
      <c r="J28" s="35">
        <f>J26+J27</f>
        <v/>
      </c>
      <c r="K28" s="35">
        <f>K26+K27</f>
        <v/>
      </c>
      <c r="L28" s="35">
        <f>L26+L27</f>
        <v/>
      </c>
      <c r="M28" s="35">
        <f>M26+M27</f>
        <v/>
      </c>
      <c r="N28" s="35">
        <f>SUM(B28:M28)</f>
        <v/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33" t="inlineStr">
        <is>
          <t>إجمالي التكاليف</t>
        </is>
      </c>
      <c r="B30" s="35">
        <f>B23+B28</f>
        <v/>
      </c>
      <c r="C30" s="35">
        <f>C23+C28</f>
        <v/>
      </c>
      <c r="D30" s="35">
        <f>D23+D28</f>
        <v/>
      </c>
      <c r="E30" s="35">
        <f>E23+E28</f>
        <v/>
      </c>
      <c r="F30" s="35">
        <f>F23+F28</f>
        <v/>
      </c>
      <c r="G30" s="35">
        <f>G23+G28</f>
        <v/>
      </c>
      <c r="H30" s="35">
        <f>H23+H28</f>
        <v/>
      </c>
      <c r="I30" s="35">
        <f>I23+I28</f>
        <v/>
      </c>
      <c r="J30" s="35">
        <f>J23+J28</f>
        <v/>
      </c>
      <c r="K30" s="35">
        <f>K23+K28</f>
        <v/>
      </c>
      <c r="L30" s="35">
        <f>L23+L28</f>
        <v/>
      </c>
      <c r="M30" s="35">
        <f>M23+M28</f>
        <v/>
      </c>
      <c r="N30" s="35">
        <f>SUM(B30:M30)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34" t="inlineStr">
        <is>
          <t>— النتيجة —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9" t="inlineStr">
        <is>
          <t>صافي التدفق النقدي للشهر</t>
        </is>
      </c>
      <c r="B33" s="36">
        <f>B11-B30</f>
        <v/>
      </c>
      <c r="C33" s="36">
        <f>C11-C30</f>
        <v/>
      </c>
      <c r="D33" s="36">
        <f>D11-D30</f>
        <v/>
      </c>
      <c r="E33" s="36">
        <f>E11-E30</f>
        <v/>
      </c>
      <c r="F33" s="36">
        <f>F11-F30</f>
        <v/>
      </c>
      <c r="G33" s="36">
        <f>G11-G30</f>
        <v/>
      </c>
      <c r="H33" s="36">
        <f>H11-H30</f>
        <v/>
      </c>
      <c r="I33" s="36">
        <f>I11-I30</f>
        <v/>
      </c>
      <c r="J33" s="36">
        <f>J11-J30</f>
        <v/>
      </c>
      <c r="K33" s="36">
        <f>K11-K30</f>
        <v/>
      </c>
      <c r="L33" s="36">
        <f>L11-L30</f>
        <v/>
      </c>
      <c r="M33" s="36">
        <f>M11-M30</f>
        <v/>
      </c>
      <c r="N33" s="35">
        <f>SUM(B33:M33)</f>
        <v/>
      </c>
    </row>
    <row r="34">
      <c r="A34" s="33" t="inlineStr">
        <is>
          <t>التدفق النقدي التراكمي</t>
        </is>
      </c>
      <c r="B34" s="35">
        <f>0+B33</f>
        <v/>
      </c>
      <c r="C34" s="35">
        <f>B34+C33</f>
        <v/>
      </c>
      <c r="D34" s="35">
        <f>C34+D33</f>
        <v/>
      </c>
      <c r="E34" s="35">
        <f>D34+E33</f>
        <v/>
      </c>
      <c r="F34" s="35">
        <f>E34+F33</f>
        <v/>
      </c>
      <c r="G34" s="35">
        <f>F34+G33</f>
        <v/>
      </c>
      <c r="H34" s="35">
        <f>G34+H33</f>
        <v/>
      </c>
      <c r="I34" s="35">
        <f>H34+I33</f>
        <v/>
      </c>
      <c r="J34" s="35">
        <f>I34+J33</f>
        <v/>
      </c>
      <c r="K34" s="35">
        <f>J34+K33</f>
        <v/>
      </c>
      <c r="L34" s="35">
        <f>K34+L33</f>
        <v/>
      </c>
      <c r="M34" s="35">
        <f>L34+M33</f>
        <v/>
      </c>
      <c r="N34" s="35">
        <f>M34</f>
        <v/>
      </c>
    </row>
    <row r="35">
      <c r="A35" s="5" t="inlineStr">
        <is>
          <t>صافي الربح المحاسبي للشهر</t>
        </is>
      </c>
      <c r="B35" s="28">
        <f>B12-B30</f>
        <v/>
      </c>
      <c r="C35" s="28">
        <f>C12-C30</f>
        <v/>
      </c>
      <c r="D35" s="28">
        <f>D12-D30</f>
        <v/>
      </c>
      <c r="E35" s="28">
        <f>E12-E30</f>
        <v/>
      </c>
      <c r="F35" s="28">
        <f>F12-F30</f>
        <v/>
      </c>
      <c r="G35" s="28">
        <f>G12-G30</f>
        <v/>
      </c>
      <c r="H35" s="28">
        <f>H12-H30</f>
        <v/>
      </c>
      <c r="I35" s="28">
        <f>I12-I30</f>
        <v/>
      </c>
      <c r="J35" s="28">
        <f>J12-J30</f>
        <v/>
      </c>
      <c r="K35" s="28">
        <f>K12-K30</f>
        <v/>
      </c>
      <c r="L35" s="28">
        <f>L12-L30</f>
        <v/>
      </c>
      <c r="M35" s="28">
        <f>M12-M30</f>
        <v/>
      </c>
      <c r="N35" s="35">
        <f>SUM(B35:M35)</f>
        <v/>
      </c>
    </row>
    <row r="36">
      <c r="A36" s="5" t="inlineStr">
        <is>
          <t>الربح المحاسبي التراكمي</t>
        </is>
      </c>
      <c r="B36" s="28">
        <f>0+B35</f>
        <v/>
      </c>
      <c r="C36" s="28">
        <f>B36+C35</f>
        <v/>
      </c>
      <c r="D36" s="28">
        <f>C36+D35</f>
        <v/>
      </c>
      <c r="E36" s="28">
        <f>D36+E35</f>
        <v/>
      </c>
      <c r="F36" s="28">
        <f>E36+F35</f>
        <v/>
      </c>
      <c r="G36" s="28">
        <f>F36+G35</f>
        <v/>
      </c>
      <c r="H36" s="28">
        <f>G36+H35</f>
        <v/>
      </c>
      <c r="I36" s="28">
        <f>H36+I35</f>
        <v/>
      </c>
      <c r="J36" s="28">
        <f>I36+J35</f>
        <v/>
      </c>
      <c r="K36" s="28">
        <f>J36+K35</f>
        <v/>
      </c>
      <c r="L36" s="28">
        <f>K36+L35</f>
        <v/>
      </c>
      <c r="M36" s="28">
        <f>L36+M35</f>
        <v/>
      </c>
      <c r="N36" s="35">
        <f>M36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9" t="inlineStr">
        <is>
          <t>أدنى نقطة في التدفق النقدي التراكمي (رأس المال المطلوب)</t>
        </is>
      </c>
      <c r="B38" s="37">
        <f>MIN(B34:M34)</f>
        <v/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5" t="inlineStr">
        <is>
          <t>الإيراد المؤجل نهاية السنة (مقبوض ولم يُكتسب بعد)</t>
        </is>
      </c>
      <c r="B39" s="28">
        <f>N11-N12</f>
        <v/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rightToLeft="1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50" customWidth="1" min="3" max="3"/>
  </cols>
  <sheetData>
    <row r="1">
      <c r="A1" s="19" t="inlineStr">
        <is>
          <t>نقطة التعادل — كم عميلًا أحتاج؟</t>
        </is>
      </c>
      <c r="B1" s="2" t="n"/>
      <c r="C1" s="2" t="n"/>
    </row>
    <row r="2">
      <c r="A2" s="2" t="n"/>
      <c r="B2" s="2" t="n"/>
      <c r="C2" s="2" t="n"/>
    </row>
    <row r="3">
      <c r="A3" s="4" t="inlineStr">
        <is>
          <t>المقياس</t>
        </is>
      </c>
      <c r="B3" s="4" t="inlineStr">
        <is>
          <t>القيمة</t>
        </is>
      </c>
      <c r="C3" s="4" t="inlineStr">
        <is>
          <t>التفسير</t>
        </is>
      </c>
    </row>
    <row r="4">
      <c r="A4" s="5" t="inlineStr">
        <is>
          <t>متوسط التكلفة الثابتة الشهرية</t>
        </is>
      </c>
      <c r="B4" s="6">
        <f>'التدفق الشهري'!N23/12</f>
        <v/>
      </c>
      <c r="C4" s="7" t="inlineStr">
        <is>
          <t>من ورقة التدفق</t>
        </is>
      </c>
    </row>
    <row r="5">
      <c r="A5" s="5" t="inlineStr">
        <is>
          <t>التكلفة الثابتة في ديسمبر (مستوى التشغيل الكامل)</t>
        </is>
      </c>
      <c r="B5" s="6">
        <f>'التدفق الشهري'!M23</f>
        <v/>
      </c>
      <c r="C5" s="7" t="inlineStr">
        <is>
          <t>آخر شهر، بعد نمو التسويق والاستضافة</t>
        </is>
      </c>
    </row>
    <row r="6">
      <c r="A6" s="5" t="inlineStr">
        <is>
          <t>إجمالي تكاليف السنة</t>
        </is>
      </c>
      <c r="B6" s="6">
        <f>'التدفق الشهري'!N30</f>
        <v/>
      </c>
      <c r="C6" s="7" t="inlineStr">
        <is>
          <t>ثابتة + متغيرة</t>
        </is>
      </c>
    </row>
    <row r="7">
      <c r="A7" s="2" t="n"/>
      <c r="B7" s="2" t="n"/>
      <c r="C7" s="2" t="n"/>
    </row>
    <row r="8">
      <c r="A8" s="5" t="inlineStr">
        <is>
          <t>الإيراد الشهري الصافي من العميل الواحد</t>
        </is>
      </c>
      <c r="B8" s="6">
        <f>الافتراضات!$B$34/12</f>
        <v/>
      </c>
      <c r="C8" s="7" t="inlineStr">
        <is>
          <t>بعد الضريبة ورسوم الدفع</t>
        </is>
      </c>
    </row>
    <row r="9">
      <c r="A9" s="5" t="inlineStr">
        <is>
          <t>التكلفة المتغيرة الشهرية للعميل</t>
        </is>
      </c>
      <c r="B9" s="6">
        <f>الافتراضات!$B$39</f>
        <v/>
      </c>
      <c r="C9" s="7" t="inlineStr"/>
    </row>
    <row r="10">
      <c r="A10" s="9" t="inlineStr">
        <is>
          <t>هامش المساهمة الشهري للعميل</t>
        </is>
      </c>
      <c r="B10" s="28">
        <f>B8-B9</f>
        <v/>
      </c>
      <c r="C10" s="7" t="inlineStr">
        <is>
          <t>ما يبقى لتغطية التكاليف الثابتة</t>
        </is>
      </c>
    </row>
    <row r="11">
      <c r="A11" s="5" t="inlineStr">
        <is>
          <t>الهامش الإجمالي</t>
        </is>
      </c>
      <c r="B11" s="27">
        <f>IF(B8=0,0,B10/B8)</f>
        <v/>
      </c>
      <c r="C11" s="7" t="inlineStr">
        <is>
          <t>الهدف الصحي في SaaS: 70٪ فأكثر</t>
        </is>
      </c>
    </row>
    <row r="12">
      <c r="A12" s="2" t="n"/>
      <c r="B12" s="2" t="n"/>
      <c r="C12" s="2" t="n"/>
    </row>
    <row r="13">
      <c r="A13" s="9" t="inlineStr">
        <is>
          <t>عملاء نشطون لتعادل متوسط الشهر (محاسبي)</t>
        </is>
      </c>
      <c r="B13" s="32">
        <f>IF(B10&lt;=0,0,ROUNDUP(B4/B10,0))</f>
        <v/>
      </c>
      <c r="C13" s="7" t="inlineStr">
        <is>
          <t>عدد العملاء النشطين في الوقت نفسه ليغطي الإيراد المحاسبي التكاليف الثابتة</t>
        </is>
      </c>
    </row>
    <row r="14">
      <c r="A14" s="9" t="inlineStr">
        <is>
          <t>عملاء نشطون لتعادل شهر ديسمبر (محاسبي)</t>
        </is>
      </c>
      <c r="B14" s="32">
        <f>IF(B10&lt;=0,0,ROUNDUP(B5/B10,0))</f>
        <v/>
      </c>
      <c r="C14" s="7" t="inlineStr">
        <is>
          <t>العدد المطلوب عند مستوى التشغيل الكامل</t>
        </is>
      </c>
    </row>
    <row r="15">
      <c r="A15" s="9" t="inlineStr">
        <is>
          <t>عقود سنوية مقبوضة لتغطية تكاليف السنة كاملة (نقدي)</t>
        </is>
      </c>
      <c r="B15" s="32">
        <f>IF((الافتراضات!$B$34-B9*12-الافتراضات!$B$40)&lt;=0,0,ROUNDUP(('التدفق الشهري'!N23)/(الافتراضات!$B$34-B9*12-الافتراضات!$B$40),0))</f>
        <v/>
      </c>
      <c r="C15" s="7" t="inlineStr">
        <is>
          <t>كم عقدًا سنويًا يجب بيعه خلال السنة حتى يغطي المقبوض كل تكاليف السنة</t>
        </is>
      </c>
    </row>
    <row r="16">
      <c r="A16" s="5" t="inlineStr">
        <is>
          <t>العملاء المخططون في السنة</t>
        </is>
      </c>
      <c r="B16" s="11">
        <f>الافتراضات!$B$54</f>
        <v/>
      </c>
      <c r="C16" s="7" t="inlineStr">
        <is>
          <t>من خطة الاكتساب</t>
        </is>
      </c>
    </row>
    <row r="17">
      <c r="A17" s="9" t="inlineStr">
        <is>
          <t>الفجوة (مخطط − مطلوب نقديًا)</t>
        </is>
      </c>
      <c r="B17" s="32">
        <f>B16-B15</f>
        <v/>
      </c>
      <c r="C17" s="7" t="inlineStr">
        <is>
          <t>موجب = الخطة تغطي السنة، سالب = نقص</t>
        </is>
      </c>
    </row>
    <row r="18">
      <c r="A18" s="2" t="n"/>
      <c r="B18" s="2" t="n"/>
      <c r="C18" s="2" t="n"/>
    </row>
    <row r="19">
      <c r="A19" s="22" t="inlineStr">
        <is>
          <t>— حسب نوع العميل: عقود سنوية مطلوبة لتغطية السنة —</t>
        </is>
      </c>
      <c r="B19" s="2" t="n"/>
      <c r="C19" s="2" t="n"/>
    </row>
    <row r="20">
      <c r="A20" s="5" t="inlineStr">
        <is>
          <t>لو كل العملاء حزمة كاملة (5,250)</t>
        </is>
      </c>
      <c r="B20" s="31">
        <f>ROUNDUP('التدفق الشهري'!N23/(الافتراضات!$B$22/(1+الافتراضات!$B$20)-الافتراضات!$B$22*الافتراضات!$B$21-B9*12-الافتراضات!$B$40),0)</f>
        <v/>
      </c>
      <c r="C20" s="7" t="inlineStr"/>
    </row>
    <row r="21">
      <c r="A21" s="5" t="inlineStr">
        <is>
          <t>لو كل العملاء مشاريع + موارد بشرية (4,000)</t>
        </is>
      </c>
      <c r="B21" s="31">
        <f>ROUNDUP('التدفق الشهري'!N23/(الافتراضات!$B$24/(1+الافتراضات!$B$20)-الافتراضات!$B$24*الافتراضات!$B$21-B9*12-الافتراضات!$B$40),0)</f>
        <v/>
      </c>
      <c r="C21" s="7" t="inlineStr"/>
    </row>
    <row r="22">
      <c r="A22" s="5" t="inlineStr">
        <is>
          <t>لو كل العملاء مشاريع فقط (2,500)</t>
        </is>
      </c>
      <c r="B22" s="31">
        <f>ROUNDUP('التدفق الشهري'!N23/(الافتراضات!$B$23/(1+الافتراضات!$B$20)-الافتراضات!$B$23*الافتراضات!$B$21-B9*12-الافتراضات!$B$40),0)</f>
        <v/>
      </c>
      <c r="C22" s="7" t="inlineStr"/>
    </row>
    <row r="23">
      <c r="A23" s="5" t="inlineStr">
        <is>
          <t>لو كل العملاء موارد بشرية فقط (1,500)</t>
        </is>
      </c>
      <c r="B23" s="31">
        <f>ROUNDUP('التدفق الشهري'!N23/(الافتراضات!$B$25/(1+الافتراضات!$B$20)-الافتراضات!$B$25*الافتراضات!$B$21-B9*12-الافتراضات!$B$40),0)</f>
        <v/>
      </c>
      <c r="C23" s="7" t="inlineStr"/>
    </row>
    <row r="24">
      <c r="A24" s="2" t="n"/>
      <c r="B24" s="2" t="n"/>
      <c r="C24" s="2" t="n"/>
    </row>
    <row r="25">
      <c r="A25" s="22" t="inlineStr">
        <is>
          <t>— تكلفة الاستحواذ —</t>
        </is>
      </c>
      <c r="B25" s="2" t="n"/>
      <c r="C25" s="2" t="n"/>
    </row>
    <row r="26">
      <c r="A26" s="5" t="inlineStr">
        <is>
          <t>إجمالي التسويق + المبيعات في السنة</t>
        </is>
      </c>
      <c r="B26" s="6">
        <f>'التدفق الشهري'!N16+'التدفق الشهري'!N19+'التدفق الشهري'!N16*الافتراضات!$B$10</f>
        <v/>
      </c>
      <c r="C26" s="7" t="inlineStr">
        <is>
          <t>راتب المبيعات وتأميناته + التسويق</t>
        </is>
      </c>
    </row>
    <row r="27">
      <c r="A27" s="5" t="inlineStr">
        <is>
          <t>تكلفة اكتساب العميل الواحد (CAC)</t>
        </is>
      </c>
      <c r="B27" s="28">
        <f>IF(الافتراضات!$B$54=0,0,B26/الافتراضات!$B$54)</f>
        <v/>
      </c>
      <c r="C27" s="7" t="inlineStr">
        <is>
          <t>حسب خطة الاكتساب</t>
        </is>
      </c>
    </row>
    <row r="28">
      <c r="A28" s="5" t="inlineStr">
        <is>
          <t>هامش العميل في السنة الأولى</t>
        </is>
      </c>
      <c r="B28" s="28">
        <f>B10*12</f>
        <v/>
      </c>
      <c r="C28" s="7" t="inlineStr"/>
    </row>
    <row r="29">
      <c r="A29" s="5" t="inlineStr">
        <is>
          <t>فترة استرداد CAC (بالأشهر)</t>
        </is>
      </c>
      <c r="B29" s="38">
        <f>IF(B10&lt;=0,0,B27/B10)</f>
        <v/>
      </c>
      <c r="C29" s="7" t="inlineStr">
        <is>
          <t>الهدف: أقل من 12 شهرًا</t>
        </is>
      </c>
    </row>
    <row r="30">
      <c r="A30" s="5" t="inlineStr">
        <is>
          <t>قيمة العميل على 3 سنوات ÷ CAC</t>
        </is>
      </c>
      <c r="B30" s="39">
        <f>IF(B27=0,0,B28*3/B27)</f>
        <v/>
      </c>
      <c r="C30" s="7" t="inlineStr">
        <is>
          <t>الهدف: 3x فأكثر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rightToLeft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السيناريوهات — نتيجة السنة حسب عدد العقود المباعة</t>
        </is>
      </c>
      <c r="B1" s="2" t="n"/>
      <c r="C1" s="2" t="n"/>
      <c r="D1" s="2" t="n"/>
    </row>
    <row r="2">
      <c r="A2" s="3" t="inlineStr">
        <is>
          <t>الافتراض: التكاليف الثابتة كما في ورقة التدفق، وكل عقد سنوي يُدفع مقدمًا بمتوسط المزيج.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البند</t>
        </is>
      </c>
      <c r="B4" s="4" t="inlineStr">
        <is>
          <t>محافظ</t>
        </is>
      </c>
      <c r="C4" s="4" t="inlineStr">
        <is>
          <t>أساسي</t>
        </is>
      </c>
      <c r="D4" s="4" t="inlineStr">
        <is>
          <t>متفائل</t>
        </is>
      </c>
    </row>
    <row r="5">
      <c r="A5" s="5" t="inlineStr">
        <is>
          <t>عدد العقود المباعة في السنة (مدخل)</t>
        </is>
      </c>
      <c r="B5" s="25" t="n">
        <v>25</v>
      </c>
      <c r="C5" s="25" t="n">
        <v>50</v>
      </c>
      <c r="D5" s="25" t="n">
        <v>80</v>
      </c>
    </row>
    <row r="6">
      <c r="A6" s="5" t="inlineStr">
        <is>
          <t>الإيراد النقدي المقبوض</t>
        </is>
      </c>
      <c r="B6" s="28">
        <f>B5*الافتراضات!$B$34</f>
        <v/>
      </c>
      <c r="C6" s="28">
        <f>C5*الافتراضات!$B$34</f>
        <v/>
      </c>
      <c r="D6" s="28">
        <f>D5*الافتراضات!$B$34</f>
        <v/>
      </c>
    </row>
    <row r="7">
      <c r="A7" s="5" t="inlineStr">
        <is>
          <t>التكاليف الثابتة للسنة</t>
        </is>
      </c>
      <c r="B7" s="6">
        <f>'التدفق الشهري'!N23</f>
        <v/>
      </c>
      <c r="C7" s="6">
        <f>'التدفق الشهري'!N23</f>
        <v/>
      </c>
      <c r="D7" s="6">
        <f>'التدفق الشهري'!N23</f>
        <v/>
      </c>
    </row>
    <row r="8">
      <c r="A8" s="5" t="inlineStr">
        <is>
          <t>التكاليف المتغيرة (تشغيل نصف سنة في المتوسط + إعداد)</t>
        </is>
      </c>
      <c r="B8" s="28">
        <f>B5*(الافتراضات!$B$39*6+الافتراضات!$B$40)</f>
        <v/>
      </c>
      <c r="C8" s="28">
        <f>C5*(الافتراضات!$B$39*6+الافتراضات!$B$40)</f>
        <v/>
      </c>
      <c r="D8" s="28">
        <f>D5*(الافتراضات!$B$39*6+الافتراضات!$B$40)</f>
        <v/>
      </c>
    </row>
    <row r="9">
      <c r="A9" s="5" t="inlineStr">
        <is>
          <t>إجمالي التكاليف</t>
        </is>
      </c>
      <c r="B9" s="28">
        <f>B7+B8</f>
        <v/>
      </c>
      <c r="C9" s="28">
        <f>C7+C8</f>
        <v/>
      </c>
      <c r="D9" s="28">
        <f>D7+D8</f>
        <v/>
      </c>
    </row>
    <row r="10">
      <c r="A10" s="9" t="inlineStr">
        <is>
          <t>صافي النقد نهاية السنة</t>
        </is>
      </c>
      <c r="B10" s="35">
        <f>B6-B9</f>
        <v/>
      </c>
      <c r="C10" s="35">
        <f>C6-C9</f>
        <v/>
      </c>
      <c r="D10" s="35">
        <f>D6-D9</f>
        <v/>
      </c>
    </row>
    <row r="11">
      <c r="A11" s="5" t="inlineStr">
        <is>
          <t>الإيراد المحاسبي المكتسب (نصف العقود في المتوسط)</t>
        </is>
      </c>
      <c r="B11" s="28">
        <f>B6/2</f>
        <v/>
      </c>
      <c r="C11" s="28">
        <f>C6/2</f>
        <v/>
      </c>
      <c r="D11" s="28">
        <f>D6/2</f>
        <v/>
      </c>
    </row>
    <row r="12">
      <c r="A12" s="9" t="inlineStr">
        <is>
          <t>صافي الربح المحاسبي</t>
        </is>
      </c>
      <c r="B12" s="35">
        <f>B11-B9</f>
        <v/>
      </c>
      <c r="C12" s="35">
        <f>C11-C9</f>
        <v/>
      </c>
      <c r="D12" s="35">
        <f>D11-D9</f>
        <v/>
      </c>
    </row>
    <row r="13">
      <c r="A13" s="5" t="inlineStr">
        <is>
          <t>الإيراد الشهري المتكرر نهاية السنة (MRR)</t>
        </is>
      </c>
      <c r="B13" s="28">
        <f>B5*الافتراضات!$B$34/12</f>
        <v/>
      </c>
      <c r="C13" s="28">
        <f>C5*الافتراضات!$B$34/12</f>
        <v/>
      </c>
      <c r="D13" s="28">
        <f>D5*الافتراضات!$B$34/12</f>
        <v/>
      </c>
    </row>
    <row r="14">
      <c r="A14" s="5" t="inlineStr">
        <is>
          <t>التكلفة الثابتة في ديسمبر</t>
        </is>
      </c>
      <c r="B14" s="6">
        <f>'التدفق الشهري'!M23</f>
        <v/>
      </c>
      <c r="C14" s="6">
        <f>'التدفق الشهري'!M23</f>
        <v/>
      </c>
      <c r="D14" s="6">
        <f>'التدفق الشهري'!M23</f>
        <v/>
      </c>
    </row>
    <row r="15">
      <c r="A15" s="9" t="inlineStr">
        <is>
          <t>تغطية التكاليف الثابتة بالإيراد المتكرر</t>
        </is>
      </c>
      <c r="B15" s="40">
        <f>IF(B14=0,0,(B13-B5*الافتراضات!$B$39)/B14)</f>
        <v/>
      </c>
      <c r="C15" s="40">
        <f>IF(C14=0,0,(C13-C5*الافتراضات!$B$39)/C14)</f>
        <v/>
      </c>
      <c r="D15" s="40">
        <f>IF(D14=0,0,(D13-D5*الافتراضات!$B$39)/D14)</f>
        <v/>
      </c>
    </row>
    <row r="16">
      <c r="A16" s="2" t="n"/>
      <c r="B16" s="2" t="n"/>
      <c r="C16" s="2" t="n"/>
      <c r="D16" s="2" t="n"/>
    </row>
    <row r="17">
      <c r="A17" s="3" t="inlineStr">
        <is>
          <t>ملاحظة: التكاليف المتغيرة هنا تقريبية (كل عميل يُخدم 6 أشهر في المتوسط). الرقم الدقيق في ورقة التدفق الشهري.</t>
        </is>
      </c>
      <c r="B17" s="2" t="n"/>
      <c r="C17" s="2" t="n"/>
      <c r="D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2026-10-13T08:41:01Z</dcterms:created>
  <dcterms:modified xmlns:dcterms="http://purl.org/dc/terms/" xmlns:xsi="http://www.w3.org/2001/XMLSchema-instance" xsi:type="dcterms:W3CDTF">2026-10-13T08:41:02Z</dcterms:modified>
</cp:coreProperties>
</file>