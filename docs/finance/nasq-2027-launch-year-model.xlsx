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ملخص" sheetId="1" state="visible" r:id="rId3"/>
    <sheet name="الافتراضات" sheetId="2" state="visible" r:id="rId4"/>
    <sheet name="التدفق الشهري" sheetId="3" state="visible" r:id="rId5"/>
    <sheet name="نقطة التعادل" sheetId="4" state="visible" r:id="rId6"/>
    <sheet name="السيناريوهات" sheetId="5" state="visible" r:id="rId7"/>
    <sheet name="ثلاث سنوات" sheetId="6" state="visible" r:id="rId8"/>
    <sheet name="نمو متسارع" sheetId="7" state="visible" r:id="rId9"/>
    <sheet name="الحساسية"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<sst xmlns="http://schemas.openxmlformats.org/spreadsheetml/2006/main" count="494" uniqueCount="418">
  <si>
    <t xml:space="preserve">نَسَق — الدراسة المالية لسنة الإطلاق 2027</t>
  </si>
  <si>
    <t xml:space="preserve">أُعدت بتاريخ 2026-10-13 وحُدّثت بتسعير الباقات الثلاث، والذكاء الاصطناعي بمفتاح العميل، والتمويل الذاتي (راتبك وموظف المبيعات من يوليو). كل الأرقام هنا معادلات مرتبطة بورقة الافتراضات.</t>
  </si>
  <si>
    <t xml:space="preserve">المؤشر</t>
  </si>
  <si>
    <t xml:space="preserve">القيمة</t>
  </si>
  <si>
    <t xml:space="preserve">ملاحظة</t>
  </si>
  <si>
    <t xml:space="preserve">إجمالي تكاليف السنة</t>
  </si>
  <si>
    <t xml:space="preserve">ثابتة + متغيرة، بخطة الاكتساب الحالية</t>
  </si>
  <si>
    <t xml:space="preserve">متوسط التكلفة الثابتة الشهرية</t>
  </si>
  <si>
    <t xml:space="preserve">التكلفة الثابتة في ديسمبر</t>
  </si>
  <si>
    <t xml:space="preserve">بعد نمو التسويق والاستضافة</t>
  </si>
  <si>
    <t xml:space="preserve">هامش المساهمة الشهري للعميل الواحد</t>
  </si>
  <si>
    <t xml:space="preserve">صافي بعد الضريبة ورسوم الدفع والتكلفة المتغيرة</t>
  </si>
  <si>
    <t xml:space="preserve">الهامش الإجمالي</t>
  </si>
  <si>
    <t xml:space="preserve">عقود سنوية مطلوبة لتغطية تكاليف السنة كاملة</t>
  </si>
  <si>
    <t xml:space="preserve">الرقم الرئيسي: كم عميلًا تحتاج خلال 2027</t>
  </si>
  <si>
    <t xml:space="preserve">عملاء نشطون مطلوبون للتعادل الشهري في ديسمبر</t>
  </si>
  <si>
    <t xml:space="preserve">ليتحول النشاط إلى مستدام بعد السنة الأولى</t>
  </si>
  <si>
    <t xml:space="preserve">العملاء المخططون في السنة</t>
  </si>
  <si>
    <t xml:space="preserve">عدّل خطة الاكتساب في ورقة الافتراضات</t>
  </si>
  <si>
    <t xml:space="preserve">الفجوة بين المخطط والمطلوب</t>
  </si>
  <si>
    <t xml:space="preserve">سالب = نقص في العملاء</t>
  </si>
  <si>
    <t xml:space="preserve">الإيراد النقدي المقبوض في السنة</t>
  </si>
  <si>
    <t xml:space="preserve">صافي النقد نهاية السنة</t>
  </si>
  <si>
    <t xml:space="preserve">رأس المال المطلوب (أعمق نقطة سالبة في النقد)</t>
  </si>
  <si>
    <t xml:space="preserve">المبلغ الذي تحتاج توفيره قبل البداية</t>
  </si>
  <si>
    <t xml:space="preserve">الإيراد المؤجل نهاية السنة</t>
  </si>
  <si>
    <t xml:space="preserve">مقبوض لكنه التزام بخدمة في 2028</t>
  </si>
  <si>
    <t xml:space="preserve">تكلفة اكتساب العميل (CAC)</t>
  </si>
  <si>
    <t xml:space="preserve">فترة استرداد CAC بالأشهر</t>
  </si>
  <si>
    <t xml:space="preserve">الهدف أقل من 12</t>
  </si>
  <si>
    <t xml:space="preserve">— ثلاث سنوات (ورقة «ثلاث سنوات») —</t>
  </si>
  <si>
    <t xml:space="preserve">صافي الربح 2028 / 2029</t>
  </si>
  <si>
    <t xml:space="preserve">هامش الربح التشغيلي 2029</t>
  </si>
  <si>
    <t xml:space="preserve">نسبة الفقد المفترضة 2028 / 2029</t>
  </si>
  <si>
    <t xml:space="preserve">سيناريو 5 ملايين (ورقة «نمو متسارع»): المبيعات 2029 / الربح التشغيلي 2029</t>
  </si>
  <si>
    <t xml:space="preserve">دليل الألوان</t>
  </si>
  <si>
    <t xml:space="preserve">تحليل الحساسية في ورقة «الحساسية»: جدول الإعصار وثلاثة جداول ثنائية.</t>
  </si>
  <si>
    <t xml:space="preserve">أسود: معادلة</t>
  </si>
  <si>
    <t xml:space="preserve">أخضر: مرتبط بورقة أخرى</t>
  </si>
  <si>
    <t xml:space="preserve">أسئلة تغيّر النتيجة (أجب عليها وعدّل الافتراضات)</t>
  </si>
  <si>
    <t xml:space="preserve">2. متى يبدأ راتبك وموظف المبيعات فعلًا؟ (B8، B10) — المعتمد: يوليو، ويُقدَّم عند 10 عملاء دافعين</t>
  </si>
  <si>
    <t xml:space="preserve">3. هل التسويق ثابت 1,000 أم ينمو؟ وبأي نسبة؟ (B14)</t>
  </si>
  <si>
    <t xml:space="preserve">4. ما المزيج المتوقع لأحجام العملاء، وكم نسبة من يضيف الموارد البشرية؟ (B29، B31–B33)</t>
  </si>
  <si>
    <r>
      <rPr>
        <sz val="11"/>
        <color theme="1"/>
        <rFont val="Calibri"/>
        <family val="2"/>
        <charset val="1"/>
      </rPr>
      <t xml:space="preserve">5. </t>
    </r>
    <r>
      <rPr>
        <sz val="11"/>
        <color theme="1"/>
        <rFont val="Arial Unicode MS"/>
        <family val="2"/>
      </rPr>
      <t xml:space="preserve">هل عندك مصاريف أخرى</t>
    </r>
    <r>
      <rPr>
        <sz val="11"/>
        <color theme="1"/>
        <rFont val="Calibri"/>
        <family val="2"/>
        <charset val="1"/>
      </rPr>
      <t xml:space="preserve">: </t>
    </r>
    <r>
      <rPr>
        <sz val="11"/>
        <color theme="1"/>
        <rFont val="Arial Unicode MS"/>
        <family val="2"/>
      </rPr>
      <t xml:space="preserve">مكتب، سفر، عمولة مبيعات، رخص </t>
    </r>
    <r>
      <rPr>
        <sz val="11"/>
        <color theme="1"/>
        <rFont val="Calibri"/>
        <family val="2"/>
        <charset val="1"/>
      </rPr>
      <t xml:space="preserve">SaaS </t>
    </r>
    <r>
      <rPr>
        <sz val="11"/>
        <color theme="1"/>
        <rFont val="Arial Unicode MS"/>
        <family val="2"/>
      </rPr>
      <t xml:space="preserve">أخرى؟</t>
    </r>
  </si>
  <si>
    <r>
      <rPr>
        <sz val="11"/>
        <color theme="1"/>
        <rFont val="Calibri"/>
        <family val="2"/>
        <charset val="1"/>
      </rPr>
      <t xml:space="preserve">6. </t>
    </r>
    <r>
      <rPr>
        <sz val="11"/>
        <color theme="1"/>
        <rFont val="Arial Unicode MS"/>
        <family val="2"/>
      </rPr>
      <t xml:space="preserve">كم عميلًا تتوقع من موظف المبيعات شهريًا بشكل واقعي؟ </t>
    </r>
    <r>
      <rPr>
        <sz val="11"/>
        <color theme="1"/>
        <rFont val="Calibri"/>
        <family val="2"/>
        <charset val="1"/>
      </rPr>
      <t xml:space="preserve">(</t>
    </r>
    <r>
      <rPr>
        <sz val="11"/>
        <color theme="1"/>
        <rFont val="Arial Unicode MS"/>
        <family val="2"/>
      </rPr>
      <t xml:space="preserve">خطة الاكتساب</t>
    </r>
    <r>
      <rPr>
        <sz val="11"/>
        <color theme="1"/>
        <rFont val="Calibri"/>
        <family val="2"/>
        <charset val="1"/>
      </rPr>
      <t xml:space="preserve">)</t>
    </r>
  </si>
  <si>
    <r>
      <rPr>
        <sz val="11"/>
        <color theme="1"/>
        <rFont val="Calibri"/>
        <family val="2"/>
        <charset val="1"/>
      </rPr>
      <t xml:space="preserve">7. </t>
    </r>
    <r>
      <rPr>
        <sz val="11"/>
        <color theme="1"/>
        <rFont val="Arial Unicode MS"/>
        <family val="2"/>
      </rPr>
      <t xml:space="preserve">متى تنتقل من مفتاح العميل إلى ذكاء مدار من نسق أو هيومين؟ عندها ضع تكلفته في </t>
    </r>
    <r>
      <rPr>
        <sz val="11"/>
        <color theme="1"/>
        <rFont val="Calibri"/>
        <family val="2"/>
        <charset val="1"/>
      </rPr>
      <t xml:space="preserve">B47 </t>
    </r>
    <r>
      <rPr>
        <sz val="11"/>
        <color theme="1"/>
        <rFont val="Arial Unicode MS"/>
        <family val="2"/>
      </rPr>
      <t xml:space="preserve">أو </t>
    </r>
    <r>
      <rPr>
        <sz val="11"/>
        <color theme="1"/>
        <rFont val="Calibri"/>
        <family val="2"/>
        <charset val="1"/>
      </rPr>
      <t xml:space="preserve">B53.</t>
    </r>
  </si>
  <si>
    <r>
      <rPr>
        <sz val="11"/>
        <color theme="1"/>
        <rFont val="Calibri"/>
        <family val="2"/>
        <charset val="1"/>
      </rPr>
      <t xml:space="preserve">8. </t>
    </r>
    <r>
      <rPr>
        <sz val="11"/>
        <color theme="1"/>
        <rFont val="Arial Unicode MS"/>
        <family val="2"/>
      </rPr>
      <t xml:space="preserve">ما نسبة التجديد الواقعية في </t>
    </r>
    <r>
      <rPr>
        <sz val="11"/>
        <color theme="1"/>
        <rFont val="Calibri"/>
        <family val="2"/>
        <charset val="1"/>
      </rPr>
      <t xml:space="preserve">2028</t>
    </r>
    <r>
      <rPr>
        <sz val="11"/>
        <color theme="1"/>
        <rFont val="Arial Unicode MS"/>
        <family val="2"/>
      </rPr>
      <t xml:space="preserve">؟ </t>
    </r>
    <r>
      <rPr>
        <sz val="11"/>
        <color theme="1"/>
        <rFont val="Calibri"/>
        <family val="2"/>
        <charset val="1"/>
      </rPr>
      <t xml:space="preserve">(</t>
    </r>
    <r>
      <rPr>
        <sz val="11"/>
        <color theme="1"/>
        <rFont val="Arial Unicode MS"/>
        <family val="2"/>
      </rPr>
      <t xml:space="preserve">ورقة ثلاث سنوات </t>
    </r>
    <r>
      <rPr>
        <sz val="11"/>
        <color theme="1"/>
        <rFont val="Calibri"/>
        <family val="2"/>
        <charset val="1"/>
      </rPr>
      <t xml:space="preserve">C7) — </t>
    </r>
    <r>
      <rPr>
        <sz val="11"/>
        <color theme="1"/>
        <rFont val="Arial Unicode MS"/>
        <family val="2"/>
      </rPr>
      <t xml:space="preserve">أهم رقم بعد المبيعات</t>
    </r>
  </si>
  <si>
    <t xml:space="preserve">الافتراضات الأساسية — سنة الإطلاق 2027</t>
  </si>
  <si>
    <t xml:space="preserve">الخلايا الزرقاء على خلفية صفراء هي المدخلات التي تعدّلها. كل ما عداها معادلات.</t>
  </si>
  <si>
    <t xml:space="preserve">البند</t>
  </si>
  <si>
    <t xml:space="preserve">المصدر / الملاحظة</t>
  </si>
  <si>
    <t xml:space="preserve">تاريخ بداية السنة</t>
  </si>
  <si>
    <t xml:space="preserve">2027-01-01</t>
  </si>
  <si>
    <t xml:space="preserve">حسب طلبك: السنة تبدأ من شهر 1 ميلادي القادم</t>
  </si>
  <si>
    <t xml:space="preserve">— التكاليف الثابتة الشهرية (ر.س) —</t>
  </si>
  <si>
    <t xml:space="preserve">راتبك الشهري (المؤسس)</t>
  </si>
  <si>
    <t xml:space="preserve">رقمك</t>
  </si>
  <si>
    <t xml:space="preserve">شهر بداية راتبك (1 = يناير)</t>
  </si>
  <si>
    <t xml:space="preserve">قرار 2026-10-13: بلا راتب للمؤسس في الأشهر الستة الأولى (تمويل ذاتي)، يبدأ من يوليو</t>
  </si>
  <si>
    <t xml:space="preserve">راتب موظف المبيعات</t>
  </si>
  <si>
    <t xml:space="preserve">شهر بداية موظف المبيعات (1 = يناير)</t>
  </si>
  <si>
    <t xml:space="preserve">قرار 2026-10-13: موظف المبيعات يبدأ في يوليو بعد جاهزية المنتج وشهادات شركاء التصميم. يُقدَّم شهرًا أو شهرين إذا وصلت 10 عملاء دافعين قبل يوليو</t>
  </si>
  <si>
    <t xml:space="preserve">نسبة التأمينات الاجتماعية على الرواتب (حصة صاحب العمل)</t>
  </si>
  <si>
    <t xml:space="preserve">قرارك 2026-10-13: بدون تأمينات اجتماعية في السنة الأولى. لو سجّلت لاحقًا فحصة صاحب العمل لموظف سعودي ≈ 11.75٪</t>
  </si>
  <si>
    <t xml:space="preserve">أدوات الذكاء الاصطناعي</t>
  </si>
  <si>
    <t xml:space="preserve">التسويق في الشهر الأول</t>
  </si>
  <si>
    <t xml:space="preserve">رقمك: يبدأ من 1,000</t>
  </si>
  <si>
    <t xml:space="preserve">نسبة زيادة التسويق شهريًا</t>
  </si>
  <si>
    <t xml:space="preserve">افتراض: زيادة 10٪ كل شهر. ضعها 0 لتثبيت 1,000</t>
  </si>
  <si>
    <t xml:space="preserve">الاستضافة — المرحلة الأولى (شهري)</t>
  </si>
  <si>
    <t xml:space="preserve">تقدير: Oracle Cloud منطقة الرياض (me-riyadh-1)، Ampere A1 بـ 4 OCPU و24 GB ≈ 56$ + تخزين 200 GB ونسخ احتياطي ≈ 80$ شهريًا ≈ 300 ر.س. السعر العالمي 0.01$/OCPU-ساعة و0.0015$/GB-ساعة (oracle.com/sa/cloud/price-list)؛ سعر الرياض قد يزيد قليلًا، يُراجع عند التعاقد. Google Cloud ليس له منطقة في الرياض (الدمام فقط)</t>
  </si>
  <si>
    <t xml:space="preserve">الاستضافة — المرحلة الثانية (شهري)</t>
  </si>
  <si>
    <t xml:space="preserve">تقدير: مضاعفة الموارد في الرياض إلى 8 OCPU و48 GB مع نسخ احتياطي إلى منطقة جدة. للمقارنة: Google Cloud الدمام e2-standard-4 ≈ 156$ + قرص ونسخ ≈ 200$ ≈ 750 ر.س، لكنه خارج الرياض</t>
  </si>
  <si>
    <t xml:space="preserve">عدد العملاء الذي يستدعي المرحلة الثانية</t>
  </si>
  <si>
    <t xml:space="preserve">افتراض: الانتقال عند 30 عميلًا نشطًا</t>
  </si>
  <si>
    <t xml:space="preserve">أدوات وبرمجيات (نطاق، بريد، GitHub، أداة دعم)</t>
  </si>
  <si>
    <t xml:space="preserve">افتراض</t>
  </si>
  <si>
    <t xml:space="preserve">محاسبة وقانوني ورسوم حكومية (متوسط شهري)</t>
  </si>
  <si>
    <t xml:space="preserve">افتراض: محاسب خارجي + سجل تجاري + منصة فوترة</t>
  </si>
  <si>
    <t xml:space="preserve">— التسعير (ر.س، سنوي، شامل الضريبة): ثلاث باقات حسب الحجم، السنوي = 10 أشهر —</t>
  </si>
  <si>
    <t xml:space="preserve">ضريبة القيمة المضافة</t>
  </si>
  <si>
    <t xml:space="preserve">15٪. الإيراد الصافي = السعر ÷ 1.15</t>
  </si>
  <si>
    <t xml:space="preserve">رسوم بوابة الدفع (نسبة من الفاتورة)</t>
  </si>
  <si>
    <t xml:space="preserve">افتراض: 2.5٪ + رسم ثابت بسيط</t>
  </si>
  <si>
    <t xml:space="preserve">الباقة الصغيرة — السعر الأساسي السنوي</t>
  </si>
  <si>
    <t xml:space="preserve">قرار 2026-10-13: 350 ر.س شهريًا × 10. تشمل 10 مستخدمين، 5 GB، 50 مشروعًا نشطًا، المهام والاجتماعات والمحادثة</t>
  </si>
  <si>
    <t xml:space="preserve">الباقة المتوسطة — السعر الأساسي السنوي</t>
  </si>
  <si>
    <t xml:space="preserve">800 ر.س شهريًا × 10. تشمل 30 مستخدمًا، 25 GB، 200 مشروع نشط</t>
  </si>
  <si>
    <t xml:space="preserve">الباقة الكبيرة — السعر الأساسي السنوي</t>
  </si>
  <si>
    <t xml:space="preserve">2,000 ر.س شهريًا × 10. تشمل 100 مستخدم، 100 GB، مشاريع بلا حد</t>
  </si>
  <si>
    <t xml:space="preserve">حزمة الموارد البشرية — الصغيرة (سنوي)</t>
  </si>
  <si>
    <t xml:space="preserve">حزمة اختيارية ≈ 30٪ من السعر الأساسي</t>
  </si>
  <si>
    <t xml:space="preserve">حزمة الموارد البشرية — المتوسطة (سنوي)</t>
  </si>
  <si>
    <t xml:space="preserve">حزمة الموارد البشرية — الكبيرة (سنوي)</t>
  </si>
  <si>
    <t xml:space="preserve">نسبة العملاء الذين يضيفون الموارد البشرية</t>
  </si>
  <si>
    <t xml:space="preserve">افتراض: نصف العملاء يشترون الحزمة الاختيارية. يُقاس بعد أول 10 عملاء</t>
  </si>
  <si>
    <t xml:space="preserve">— مزيج العملاء حسب الحجم (مجموعه 100٪) —</t>
  </si>
  <si>
    <t xml:space="preserve">نسبة عملاء الباقة الصغيرة</t>
  </si>
  <si>
    <t xml:space="preserve">افتراض: أغلب العملاء الأوائل شركات صغيرة</t>
  </si>
  <si>
    <t xml:space="preserve">نسبة عملاء الباقة المتوسطة</t>
  </si>
  <si>
    <t xml:space="preserve">نسبة عملاء الباقة الكبيرة</t>
  </si>
  <si>
    <t xml:space="preserve">مجموع النسب (يجب أن يساوي 100٪)</t>
  </si>
  <si>
    <t xml:space="preserve">تحقق</t>
  </si>
  <si>
    <t xml:space="preserve">متوسط السعر الأساسي السنوي شامل الضريبة</t>
  </si>
  <si>
    <t xml:space="preserve">مرجح بمزيج الحجم</t>
  </si>
  <si>
    <t xml:space="preserve">متوسط إضافة الموارد البشرية شامل الضريبة</t>
  </si>
  <si>
    <t xml:space="preserve">مرجح بالمزيج × نسبة الإضافة</t>
  </si>
  <si>
    <t xml:space="preserve">متوسط قيمة العقد السنوي شامل الضريبة</t>
  </si>
  <si>
    <t xml:space="preserve">أساسي + موارد بشرية</t>
  </si>
  <si>
    <t xml:space="preserve">متوسط قيمة العقد السنوي صافي الضريبة</t>
  </si>
  <si>
    <t xml:space="preserve">صافي العقد بعد رسوم الدفع</t>
  </si>
  <si>
    <t xml:space="preserve">رسوم البوابة تُحسب على المبلغ شامل الضريبة</t>
  </si>
  <si>
    <t xml:space="preserve">— التكلفة المتغيرة لكل عميل شهريًا (ر.س) —</t>
  </si>
  <si>
    <t xml:space="preserve">حوسبة وتخزين ونسخ احتياطي إضافية للعميل</t>
  </si>
  <si>
    <t xml:space="preserve">افتراض: قاعدة بيانات وملفات مستقلة لكل عميل. يُقاس فعليًا بعد أول 3 أشهر</t>
  </si>
  <si>
    <t xml:space="preserve">دعم فني: ساعات شهريًا لكل عميل</t>
  </si>
  <si>
    <t xml:space="preserve">افتراض: نصف ساعة شهريًا بعد شهر الإعداد</t>
  </si>
  <si>
    <t xml:space="preserve">تكلفة ساعة الدعم</t>
  </si>
  <si>
    <t xml:space="preserve">افتراض: وقتك أو وقت موظف المبيعات محسوب بسعر السوق</t>
  </si>
  <si>
    <t xml:space="preserve">إجمالي التكلفة المتغيرة لكل عميل شهريًا</t>
  </si>
  <si>
    <t xml:space="preserve">حوسبة + دعم + ذكاء اصطناعي متغير</t>
  </si>
  <si>
    <t xml:space="preserve">تكلفة إعداد عميل جديد (مرة واحدة)</t>
  </si>
  <si>
    <t xml:space="preserve">افتراض: 4 ساعات إعداد ونقل بيانات × 50 ر.س</t>
  </si>
  <si>
    <t xml:space="preserve">— الذكاء الاصطناعي: المرحلة الأولى بمفتاح العميل (BYOK)، قرار 2026-10-13 —</t>
  </si>
  <si>
    <t xml:space="preserve">خادم GPU للذكاء الاصطناعي في الرياض (شهري)</t>
  </si>
  <si>
    <t xml:space="preserve">قرار 2026-10-13: المرحلة الأولى بمفتاح العميل، فلا خادم محلي. للمرحلة الثانية (ذكاء مدار من نسق أو هيومين) أعد الرقم: Oracle A10 في الرياض ≈ 5,500 ر.س شهريًا على الطلب أو ≈ 3,700 بالتزام سنة</t>
  </si>
  <si>
    <t xml:space="preserve">شهر بداية خادم الذكاء الاصطناعي (1 = يناير)</t>
  </si>
  <si>
    <t xml:space="preserve">غير مؤثر ما دام B46 = 0</t>
  </si>
  <si>
    <t xml:space="preserve">مستخدمون نشطون للعميل — الباقة الصغيرة</t>
  </si>
  <si>
    <t xml:space="preserve">افتراض: 8 من 10</t>
  </si>
  <si>
    <t xml:space="preserve">مستخدمون نشطون للعميل — الباقة المتوسطة</t>
  </si>
  <si>
    <t xml:space="preserve">افتراض: 20 من 30</t>
  </si>
  <si>
    <t xml:space="preserve">مستخدمون نشطون للعميل — الباقة الكبيرة</t>
  </si>
  <si>
    <t xml:space="preserve">افتراض: 60 من 100</t>
  </si>
  <si>
    <t xml:space="preserve">متوسط المستخدمين النشطين لكل عميل</t>
  </si>
  <si>
    <t xml:space="preserve">تكلفة API احتياطية للمستخدم النشط شهريًا</t>
  </si>
  <si>
    <t xml:space="preserve">المرحلة الأولى: العميل يدفع لمزوّده مباشرة بمفتاحه. للمرحلة الثانية ضع ≈ 3 ر.س للمستخدم النشط (Claude عبر Bedrock الخليج، دراسة السوق §5.3)</t>
  </si>
  <si>
    <t xml:space="preserve">تكلفة الذكاء الاصطناعي المتغيرة لكل عميل شهريًا</t>
  </si>
  <si>
    <t xml:space="preserve">صفر في المرحلة الأولى</t>
  </si>
  <si>
    <t xml:space="preserve">— خطة اكتساب العملاء (عملاء جدد كل شهر) —</t>
  </si>
  <si>
    <t xml:space="preserve">عملاء جدد — يناير 2027</t>
  </si>
  <si>
    <t xml:space="preserve">يناير: تجهيز وتسويق بلا إغلاق</t>
  </si>
  <si>
    <t xml:space="preserve">عملاء جدد — فبراير 2027</t>
  </si>
  <si>
    <t xml:space="preserve">افتراض: موظف مبيعات واحد يغلق 1–7 عملاء شهريًا</t>
  </si>
  <si>
    <t xml:space="preserve">عملاء جدد — مارس 2027</t>
  </si>
  <si>
    <t xml:space="preserve">عملاء جدد — أبريل 2027</t>
  </si>
  <si>
    <t xml:space="preserve">عملاء جدد — مايو 2027</t>
  </si>
  <si>
    <t xml:space="preserve">عملاء جدد — يونيو 2027</t>
  </si>
  <si>
    <t xml:space="preserve">عملاء جدد — يوليو 2027</t>
  </si>
  <si>
    <t xml:space="preserve">عملاء جدد — أغسطس 2027</t>
  </si>
  <si>
    <t xml:space="preserve">عملاء جدد — سبتمبر 2027</t>
  </si>
  <si>
    <t xml:space="preserve">عملاء جدد — أكتوبر 2027</t>
  </si>
  <si>
    <t xml:space="preserve">عملاء جدد — نوفمبر 2027</t>
  </si>
  <si>
    <t xml:space="preserve">عملاء جدد — ديسمبر 2027</t>
  </si>
  <si>
    <t xml:space="preserve">إجمالي العملاء الجدد في السنة</t>
  </si>
  <si>
    <t xml:space="preserve">نسبة الفقد الشهري للعملاء</t>
  </si>
  <si>
    <t xml:space="preserve">افتراض: صفر في السنة الأولى لأن العقود سنوية مدفوعة مقدمًا</t>
  </si>
  <si>
    <t xml:space="preserve">الإيرادات والتكاليف الشهرية — 2027 (ر.س)</t>
  </si>
  <si>
    <t xml:space="preserve">الإيراد النقدي = ما يُقبض فعلًا (دفع سنوي مقدمًا). الإيراد المحاسبي = العقد موزعًا على 12 شهرًا.</t>
  </si>
  <si>
    <t xml:space="preserve">يناير 2027</t>
  </si>
  <si>
    <t xml:space="preserve">فبراير 2027</t>
  </si>
  <si>
    <t xml:space="preserve">مارس 2027</t>
  </si>
  <si>
    <t xml:space="preserve">أبريل 2027</t>
  </si>
  <si>
    <t xml:space="preserve">مايو 2027</t>
  </si>
  <si>
    <t xml:space="preserve">يونيو 2027</t>
  </si>
  <si>
    <t xml:space="preserve">يوليو 2027</t>
  </si>
  <si>
    <t xml:space="preserve">أغسطس 2027</t>
  </si>
  <si>
    <t xml:space="preserve">سبتمبر 2027</t>
  </si>
  <si>
    <t xml:space="preserve">أكتوبر 2027</t>
  </si>
  <si>
    <t xml:space="preserve">نوفمبر 2027</t>
  </si>
  <si>
    <t xml:space="preserve">ديسمبر 2027</t>
  </si>
  <si>
    <t xml:space="preserve">إجمالي السنة</t>
  </si>
  <si>
    <t xml:space="preserve">رقم الشهر</t>
  </si>
  <si>
    <t xml:space="preserve">عملاء جدد</t>
  </si>
  <si>
    <t xml:space="preserve">عملاء مغادرون</t>
  </si>
  <si>
    <t xml:space="preserve">العملاء النشطون نهاية الشهر</t>
  </si>
  <si>
    <t xml:space="preserve">— الإيرادات —</t>
  </si>
  <si>
    <t xml:space="preserve">الإيراد النقدي المقبوض (صافي الضريبة ورسوم الدفع)</t>
  </si>
  <si>
    <t xml:space="preserve">الإيراد المحاسبي للشهر (العقد ÷ 12)</t>
  </si>
  <si>
    <t xml:space="preserve">— التكاليف الثابتة —</t>
  </si>
  <si>
    <t xml:space="preserve">راتب المؤسس</t>
  </si>
  <si>
    <t xml:space="preserve">التأمينات الاجتماعية (حصة صاحب العمل)</t>
  </si>
  <si>
    <t xml:space="preserve">التسويق</t>
  </si>
  <si>
    <t xml:space="preserve">الاستضافة</t>
  </si>
  <si>
    <t xml:space="preserve">استضافة الذكاء الاصطناعي محليًا (صفر في مرحلة مفتاح العميل)</t>
  </si>
  <si>
    <t xml:space="preserve">أدوات وبرمجيات</t>
  </si>
  <si>
    <t xml:space="preserve">محاسبة وقانوني ورسوم</t>
  </si>
  <si>
    <t xml:space="preserve">إجمالي التكاليف الثابتة</t>
  </si>
  <si>
    <t xml:space="preserve">— التكاليف المتغيرة —</t>
  </si>
  <si>
    <t xml:space="preserve">تشغيل ودعم العملاء النشطين</t>
  </si>
  <si>
    <t xml:space="preserve">إعداد العملاء الجدد</t>
  </si>
  <si>
    <t xml:space="preserve">إجمالي التكاليف المتغيرة</t>
  </si>
  <si>
    <t xml:space="preserve">إجمالي التكاليف</t>
  </si>
  <si>
    <t xml:space="preserve">— النتيجة —</t>
  </si>
  <si>
    <t xml:space="preserve">صافي التدفق النقدي للشهر</t>
  </si>
  <si>
    <t xml:space="preserve">التدفق النقدي التراكمي</t>
  </si>
  <si>
    <t xml:space="preserve">صافي الربح المحاسبي للشهر</t>
  </si>
  <si>
    <t xml:space="preserve">الربح المحاسبي التراكمي</t>
  </si>
  <si>
    <t xml:space="preserve">أدنى نقطة في التدفق النقدي التراكمي (رأس المال المطلوب)</t>
  </si>
  <si>
    <t xml:space="preserve">الإيراد المؤجل نهاية السنة (مقبوض ولم يُكتسب بعد)</t>
  </si>
  <si>
    <t xml:space="preserve">نقطة التعادل — كم عميلًا أحتاج؟</t>
  </si>
  <si>
    <t xml:space="preserve">المقياس</t>
  </si>
  <si>
    <t xml:space="preserve">التفسير</t>
  </si>
  <si>
    <t xml:space="preserve">من ورقة التدفق</t>
  </si>
  <si>
    <t xml:space="preserve">التكلفة الثابتة في ديسمبر (مستوى التشغيل الكامل)</t>
  </si>
  <si>
    <t xml:space="preserve">آخر شهر، بعد نمو التسويق والاستضافة</t>
  </si>
  <si>
    <t xml:space="preserve">ثابتة + متغيرة</t>
  </si>
  <si>
    <t xml:space="preserve">الإيراد الشهري الصافي من العميل الواحد</t>
  </si>
  <si>
    <t xml:space="preserve">بعد الضريبة ورسوم الدفع</t>
  </si>
  <si>
    <t xml:space="preserve">التكلفة المتغيرة الشهرية للعميل</t>
  </si>
  <si>
    <t xml:space="preserve">هامش المساهمة الشهري للعميل</t>
  </si>
  <si>
    <t xml:space="preserve">ما يبقى لتغطية التكاليف الثابتة</t>
  </si>
  <si>
    <t xml:space="preserve">الهدف الصحي في SaaS: 70٪ فأكثر</t>
  </si>
  <si>
    <t xml:space="preserve">عملاء نشطون لتعادل متوسط الشهر (محاسبي)</t>
  </si>
  <si>
    <t xml:space="preserve">عدد العملاء النشطين في الوقت نفسه ليغطي الإيراد المحاسبي التكاليف الثابتة</t>
  </si>
  <si>
    <t xml:space="preserve">عملاء نشطون لتعادل شهر ديسمبر (محاسبي)</t>
  </si>
  <si>
    <t xml:space="preserve">العدد المطلوب عند مستوى التشغيل الكامل</t>
  </si>
  <si>
    <t xml:space="preserve">عقود سنوية مقبوضة لتغطية تكاليف السنة كاملة (نقدي)</t>
  </si>
  <si>
    <t xml:space="preserve">كم عقدًا سنويًا يجب بيعه خلال السنة حتى يغطي المقبوض كل تكاليف السنة</t>
  </si>
  <si>
    <t xml:space="preserve">من خطة الاكتساب</t>
  </si>
  <si>
    <t xml:space="preserve">الفجوة (مخطط − مطلوب نقديًا)</t>
  </si>
  <si>
    <t xml:space="preserve">موجب = الخطة تغطي السنة، سالب = نقص</t>
  </si>
  <si>
    <t xml:space="preserve">— حسب الباقة: عقود سنوية مطلوبة لتغطية السنة —</t>
  </si>
  <si>
    <t xml:space="preserve">لو كل العملاء باقة صغيرة بلا موارد بشرية (3,500)</t>
  </si>
  <si>
    <t xml:space="preserve">لو كل العملاء باقة صغيرة مع موارد بشرية (4,500)</t>
  </si>
  <si>
    <t xml:space="preserve">لو كل العملاء باقة متوسطة بلا موارد بشرية (8,000)</t>
  </si>
  <si>
    <t xml:space="preserve">لو كل العملاء باقة كبيرة بلا موارد بشرية (20,000)</t>
  </si>
  <si>
    <t xml:space="preserve">— تكلفة الاستحواذ —</t>
  </si>
  <si>
    <t xml:space="preserve">إجمالي التسويق + المبيعات في السنة</t>
  </si>
  <si>
    <t xml:space="preserve">راتب المبيعات وتأميناته + التسويق</t>
  </si>
  <si>
    <t xml:space="preserve">تكلفة اكتساب العميل الواحد (CAC)</t>
  </si>
  <si>
    <t xml:space="preserve">حسب خطة الاكتساب</t>
  </si>
  <si>
    <t xml:space="preserve">هامش العميل في السنة الأولى</t>
  </si>
  <si>
    <t xml:space="preserve">فترة استرداد CAC (بالأشهر)</t>
  </si>
  <si>
    <t xml:space="preserve">الهدف: أقل من 12 شهرًا</t>
  </si>
  <si>
    <t xml:space="preserve">قيمة العميل على 3 سنوات ÷ CAC</t>
  </si>
  <si>
    <t xml:space="preserve">الهدف: 3x فأكثر</t>
  </si>
  <si>
    <t xml:space="preserve">السيناريوهات — نتيجة السنة حسب عدد العقود المباعة</t>
  </si>
  <si>
    <t xml:space="preserve">الافتراض: التكاليف الثابتة كما في ورقة التدفق، وكل عقد سنوي يُدفع مقدمًا بمتوسط المزيج.</t>
  </si>
  <si>
    <t xml:space="preserve">محافظ</t>
  </si>
  <si>
    <t xml:space="preserve">أساسي</t>
  </si>
  <si>
    <t xml:space="preserve">متفائل</t>
  </si>
  <si>
    <t xml:space="preserve">عدد العقود المباعة في السنة (مدخل)</t>
  </si>
  <si>
    <t xml:space="preserve">الإيراد النقدي المقبوض</t>
  </si>
  <si>
    <t xml:space="preserve">التكاليف الثابتة للسنة</t>
  </si>
  <si>
    <t xml:space="preserve">التكاليف المتغيرة (تشغيل نصف سنة في المتوسط + إعداد)</t>
  </si>
  <si>
    <t xml:space="preserve">الإيراد المحاسبي المكتسب (نصف العقود في المتوسط)</t>
  </si>
  <si>
    <t xml:space="preserve">صافي الربح المحاسبي</t>
  </si>
  <si>
    <t xml:space="preserve">الإيراد الشهري المتكرر نهاية السنة (MRR)</t>
  </si>
  <si>
    <t xml:space="preserve">تغطية التكاليف الثابتة بالإيراد المتكرر</t>
  </si>
  <si>
    <t xml:space="preserve">ملاحظة: التكاليف المتغيرة هنا تقريبية (كل عميل يُخدم 6 أشهر في المتوسط). الرقم الدقيق في ورقة التدفق الشهري.</t>
  </si>
  <si>
    <t xml:space="preserve">نَسَق — نظرة ثلاث سنوات: التجديد والفقد والربحية</t>
  </si>
  <si>
    <t xml:space="preserve">المدخلات زرقاء على أصفر. 2027 مرتبطة بورقة التدفق الشهري؛ 2028 و2029 تقديرات سنوية. الإيراد المحاسبي يفترض أن العقد الجديد يُكتسب نصفه في سنة البيع ونصفه في التالية (توزيع متساوٍ عبر السنة).</t>
  </si>
  <si>
    <t xml:space="preserve">2027</t>
  </si>
  <si>
    <t xml:space="preserve">2028</t>
  </si>
  <si>
    <t xml:space="preserve">2029</t>
  </si>
  <si>
    <t xml:space="preserve">— مدخلات العملاء —</t>
  </si>
  <si>
    <t xml:space="preserve">عقود جديدة في السنة</t>
  </si>
  <si>
    <t xml:space="preserve">2027 من خطة الاكتساب؛ 2028 و2029 افتراض: موظفا مبيعات + محتوى + شركاء</t>
  </si>
  <si>
    <t xml:space="preserve">نسبة التجديد السنوية</t>
  </si>
  <si>
    <t xml:space="preserve">افتراض: 85٪ في أول تجديد (معيار SaaS للشركات الصغيرة 80–90٪)، يتحسن مع نضج المنتج. الفقد = 1 − التجديد</t>
  </si>
  <si>
    <t xml:space="preserve">نسبة الفقد السنوية (churn)</t>
  </si>
  <si>
    <t xml:space="preserve">2027 صفر لأن العقود سنوية مدفوعة مقدمًا ولا تجديد قبل 2028</t>
  </si>
  <si>
    <t xml:space="preserve">عملاء بداية السنة</t>
  </si>
  <si>
    <t xml:space="preserve">عملاء مجددون</t>
  </si>
  <si>
    <t xml:space="preserve">عملاء مفقودون</t>
  </si>
  <si>
    <t xml:space="preserve">عملاء نهاية السنة</t>
  </si>
  <si>
    <t xml:space="preserve">— مدخلات الأسعار والتكاليف —</t>
  </si>
  <si>
    <t xml:space="preserve">متوسط العقد السنوي شامل الضريبة</t>
  </si>
  <si>
    <t xml:space="preserve">2027 من الافتراضات؛ يرتفع بنسبة الزيادة السنوية</t>
  </si>
  <si>
    <t xml:space="preserve">زيادة سنوية في متوسط العقد</t>
  </si>
  <si>
    <t xml:space="preserve">افتراض: توسع العملاء داخل الباقات + رفع أسعار بعد إثبات القيمة</t>
  </si>
  <si>
    <t xml:space="preserve">صافي العقد بعد الضريبة ورسوم الدفع</t>
  </si>
  <si>
    <t xml:space="preserve">تكلفة متغيرة شهرية لكل عميل</t>
  </si>
  <si>
    <t xml:space="preserve">افتراض: +10٪ سنويًا (دعم أكثر لعملاء أكبر)</t>
  </si>
  <si>
    <t xml:space="preserve">تكلفة إعداد العميل الجديد</t>
  </si>
  <si>
    <t xml:space="preserve">— التكاليف الثابتة السنوية (ر.س) —</t>
  </si>
  <si>
    <t xml:space="preserve">رواتب المؤسس والمبيعات الأول</t>
  </si>
  <si>
    <t xml:space="preserve">2027 حسب شهر البداية؛ ثم 4,000 + 6,000 شهريًا كاملة</t>
  </si>
  <si>
    <t xml:space="preserve">توظيف إضافي: دعم (2028) ومبيعات ثانٍ (2029)</t>
  </si>
  <si>
    <t xml:space="preserve">افتراض: موظف دعم 5,000 شهريًا من 2028، وموظف مبيعات ثانٍ 6,000 شهريًا من 2029. القاعدة: توظيف فقط بعد 20 عميلًا دافعًا يغطي الراتب</t>
  </si>
  <si>
    <t xml:space="preserve">تسويق</t>
  </si>
  <si>
    <t xml:space="preserve">افتراض: 3,000 ثم 5,000 شهريًا</t>
  </si>
  <si>
    <t xml:space="preserve">استضافة المنصة</t>
  </si>
  <si>
    <t xml:space="preserve">افتراض: 1,200 شهريًا لـ 100 عميل، 2,400 لـ 200</t>
  </si>
  <si>
    <t xml:space="preserve">أدوات وذكاء اصطناعي للفريق وبرمجيات</t>
  </si>
  <si>
    <t xml:space="preserve">افتراض: يرتفع مع الفوترة والتدقيق</t>
  </si>
  <si>
    <t xml:space="preserve">تأمينات اجتماعية (حصة صاحب العمل)</t>
  </si>
  <si>
    <t xml:space="preserve">افتراض: التسجيل من 2028 بنسبة 11.75٪ على الرواتب</t>
  </si>
  <si>
    <t xml:space="preserve">— النتائج —</t>
  </si>
  <si>
    <t xml:space="preserve">عقود جديدة + تجديدات × صافي العقد</t>
  </si>
  <si>
    <t xml:space="preserve">الإيراد المحاسبي المكتسب</t>
  </si>
  <si>
    <t xml:space="preserve">المجددون سنة كاملة + نصف الجدد + النصف المؤجل من جدد السنة السابقة</t>
  </si>
  <si>
    <t xml:space="preserve">التكاليف المتغيرة</t>
  </si>
  <si>
    <t xml:space="preserve">العملاء النشطون في المتوسط × الشهرية + إعداد الجدد</t>
  </si>
  <si>
    <t xml:space="preserve">إجمالي الربح (الإيراد المحاسبي − المتغيرة)</t>
  </si>
  <si>
    <t xml:space="preserve">هامش الربح الإجمالي</t>
  </si>
  <si>
    <t xml:space="preserve">الربح التشغيلي (الإجمالي − الثابتة)</t>
  </si>
  <si>
    <t xml:space="preserve">قبل الزكاة</t>
  </si>
  <si>
    <t xml:space="preserve">هامش الربح التشغيلي</t>
  </si>
  <si>
    <t xml:space="preserve">زكاة تقديرية</t>
  </si>
  <si>
    <t xml:space="preserve">تقريب فقط: الزكاة تُحسب على الوعاء الزكوي لا على الربح. يُراجع مع المحاسب</t>
  </si>
  <si>
    <t xml:space="preserve">نسبة الزكاة التقديرية من الربح</t>
  </si>
  <si>
    <t xml:space="preserve">صافي الربح</t>
  </si>
  <si>
    <t xml:space="preserve">هامش صافي الربح</t>
  </si>
  <si>
    <t xml:space="preserve">صافي التدفق النقدي للسنة</t>
  </si>
  <si>
    <t xml:space="preserve">النقد التراكمي نهاية السنة</t>
  </si>
  <si>
    <t xml:space="preserve">قبل أي توزيعات</t>
  </si>
  <si>
    <t xml:space="preserve">تغطية الثابت الشهري بالإيراد المتكرر</t>
  </si>
  <si>
    <t xml:space="preserve">أكثر من 100٪ = مستدام بلا تمويل</t>
  </si>
  <si>
    <t xml:space="preserve">قيمة العميل مدى الحياة (LTV) بهامش المساهمة</t>
  </si>
  <si>
    <t xml:space="preserve">هامش المساهمة السنوي ÷ نسبة الفقد. 2027 يستخدم فقد 2028 لأن فقده صفر</t>
  </si>
  <si>
    <t xml:space="preserve">LTV ÷ CAC</t>
  </si>
  <si>
    <t xml:space="preserve">الهدف 3x فأكثر</t>
  </si>
  <si>
    <t xml:space="preserve">2028: التسويق + 60٪ من الرواتب (حصة المبيعات)؛ 2029: + راتب المبيعات الثاني (6 من 11 ألفًا)</t>
  </si>
  <si>
    <t xml:space="preserve">نَسَق — سيناريو النمو المتسارع: 5 ملايين ر.س مبيعات في 2029</t>
  </si>
  <si>
    <t xml:space="preserve">سيناريو مستقل عن الخطة الأساسية. كل المدخلات زرقاء على صفراء. "المبيعات" = الفواتير الصادرة في السنة شاملة الضريبة (عقود جديدة + تجديدات). الهدف يُقرأ في الصف 40.</t>
  </si>
  <si>
    <t xml:space="preserve">— الهدف والعملاء —</t>
  </si>
  <si>
    <t xml:space="preserve">هدف المبيعات السنوية شامل الضريبة</t>
  </si>
  <si>
    <t xml:space="preserve">الهدف المعلن: 5 ملايين ر.س في 2029</t>
  </si>
  <si>
    <t xml:space="preserve">2027: 80 بدل 50 (مبيعات من أبريل + شركاء موزعون من الربع الثالث)؛ 2028: 180 بثلاثة مندوبين؛ 2029: 260 بخمسة مندوبين وقنوات شركاء</t>
  </si>
  <si>
    <t xml:space="preserve">كما في الورقة الأساسية</t>
  </si>
  <si>
    <t xml:space="preserve">2027 من المزيج الحالي؛ 2028 تحول المزيج نحو المتوسطة والكبيرة + مستخدمون إضافيون؛ 2029 + تطبيق ثانٍ (مبيعات أو مالية) يُباع كحزمة اختيارية</t>
  </si>
  <si>
    <t xml:space="preserve">— الفريق (متوسط عدد الموظفين خلال السنة، والراتب الشهري) —</t>
  </si>
  <si>
    <t xml:space="preserve">المؤسس: الراتب الشهري</t>
  </si>
  <si>
    <t xml:space="preserve">2027 من يوليو فقط (نصف سنة)</t>
  </si>
  <si>
    <t xml:space="preserve">مندوبو مبيعات: العدد المتوسط</t>
  </si>
  <si>
    <t xml:space="preserve">2027 واحد من أبريل؛ 2028 ثلاثة بنهاية السنة؛ 2029 خمسة. الطاقة: 5 إلى 6 عقود شهريًا للمندوب</t>
  </si>
  <si>
    <t xml:space="preserve">مندوب مبيعات: الراتب الشهري + عمولة 5٪ من العقود الجديدة</t>
  </si>
  <si>
    <t xml:space="preserve">العمولة تُحسب في الصف 29</t>
  </si>
  <si>
    <t xml:space="preserve">تأهيل عملاء (SDR) وتسويق: العدد المتوسط</t>
  </si>
  <si>
    <t xml:space="preserve">2028: SDR + مسؤول تسويق بنصف دوام؛ 2029: SDR ×2 + مسؤول تسويق</t>
  </si>
  <si>
    <t xml:space="preserve">تأهيل وتسويق: الراتب الشهري المتوسط</t>
  </si>
  <si>
    <t xml:space="preserve">دعم ونجاح عملاء: العدد المتوسط</t>
  </si>
  <si>
    <t xml:space="preserve">2027 من سبتمبر؛ القاعدة: موظف دعم/نجاح لكل 60 إلى 70 عميلًا</t>
  </si>
  <si>
    <t xml:space="preserve">دعم ونجاح عملاء: الراتب الشهري</t>
  </si>
  <si>
    <t xml:space="preserve">تطوير ومنتج: العدد المتوسط</t>
  </si>
  <si>
    <t xml:space="preserve">2028 مطور واحد؛ 2029 اثنان. التطبيق الثاني يحتاج هذا</t>
  </si>
  <si>
    <t xml:space="preserve">تطوير: الراتب الشهري</t>
  </si>
  <si>
    <t xml:space="preserve">تأمينات اجتماعية على رواتب الموظفين</t>
  </si>
  <si>
    <t xml:space="preserve">11.75٪ حصة صاحب العمل لموظف سعودي، من أول موظف</t>
  </si>
  <si>
    <t xml:space="preserve">رواتب المؤسس في السنة</t>
  </si>
  <si>
    <t xml:space="preserve">رواتب الموظفين في السنة (قبل التأمينات)</t>
  </si>
  <si>
    <t xml:space="preserve">تأمينات اجتماعية</t>
  </si>
  <si>
    <t xml:space="preserve">عمولات مبيعات (5٪ من العقود الجديدة)</t>
  </si>
  <si>
    <t xml:space="preserve">إجمالي عدد الفريق نهاية السنة (تقريبي)</t>
  </si>
  <si>
    <t xml:space="preserve">المؤسس + المندوبون + التأهيل والتسويق + الدعم + التطوير</t>
  </si>
  <si>
    <t xml:space="preserve">— التسويق والتشغيل (سنوي) —</t>
  </si>
  <si>
    <t xml:space="preserve">ميزانية التسويق</t>
  </si>
  <si>
    <t xml:space="preserve">2027: محتوى وإعلانات وفعاليات ومكافآت شركاء؛ 2028: 25 ألفًا شهريًا؛ 2029: 50 ألفًا شهريًا. القاعدة: ≈ 25 إلى 30٪ من المبيعات الجديدة المستهدفة</t>
  </si>
  <si>
    <t xml:space="preserve">استضافة وبنية تحتية</t>
  </si>
  <si>
    <t xml:space="preserve">خوادم أكبر في الرياض + نسخ احتياطي + مراقبة</t>
  </si>
  <si>
    <t xml:space="preserve">مكتب ومصاريف إدارية</t>
  </si>
  <si>
    <t xml:space="preserve">مساحة عمل مشتركة في الرياض من 2028</t>
  </si>
  <si>
    <t xml:space="preserve">محاسبة وقانوني ورسوم وتأسيس</t>
  </si>
  <si>
    <t xml:space="preserve">2027 يشمل التأسيس والفوترة المعتمدة واستشارة PDPL</t>
  </si>
  <si>
    <t xml:space="preserve">إعداد العميل الجديد</t>
  </si>
  <si>
    <t xml:space="preserve">إعداد أعمق للعملاء الأكبر</t>
  </si>
  <si>
    <t xml:space="preserve">المبيعات (فواتير السنة شامل الضريبة)</t>
  </si>
  <si>
    <t xml:space="preserve">الرقم المقارن بالهدف في الصف 6</t>
  </si>
  <si>
    <t xml:space="preserve">نسبة تحقيق الهدف</t>
  </si>
  <si>
    <t xml:space="preserve">الإيراد النقدي المقبوض (صافي الضريبة والرسوم)</t>
  </si>
  <si>
    <t xml:space="preserve">نصف الجدد في سنة البيع، والباقي في التالية</t>
  </si>
  <si>
    <t xml:space="preserve">إجمالي الربح</t>
  </si>
  <si>
    <t xml:space="preserve">إجمالي الرواتب والعمولات</t>
  </si>
  <si>
    <t xml:space="preserve">إجمالي التكاليف الثابتة (رواتب + تسويق + تشغيل)</t>
  </si>
  <si>
    <t xml:space="preserve">الربح التشغيلي (محاسبي)</t>
  </si>
  <si>
    <t xml:space="preserve">بلا زكاة؛ تُضاف عند الربح</t>
  </si>
  <si>
    <t xml:space="preserve">أعمق احتياج نقدي تقديري خلال السنة</t>
  </si>
  <si>
    <t xml:space="preserve">تقريب: الخسارة النقدية + شهرين من الثابت قبل تحصيل الفواتير. الرقم الدقيق يحتاج تدفقًا شهريًا</t>
  </si>
  <si>
    <t xml:space="preserve">تسويق + رواتب المبيعات والتأهيل + العمولات ÷ العقود الجديدة</t>
  </si>
  <si>
    <t xml:space="preserve">قيمة العميل مدى الحياة (LTV) ÷ CAC</t>
  </si>
  <si>
    <t xml:space="preserve">عقود جديدة مطلوبة شهريًا</t>
  </si>
  <si>
    <t xml:space="preserve">عروض توضيحية مطلوبة شهريًا (إغلاق 25٪)</t>
  </si>
  <si>
    <t xml:space="preserve">افتراض: ربع العروض تتحول إلى عقد</t>
  </si>
  <si>
    <t xml:space="preserve">عملاء محتملون مؤهلون شهريًا (40٪ يقبلون عرضًا)</t>
  </si>
  <si>
    <t xml:space="preserve">افتراض: 40٪ من المؤهلين يحضرون عرضًا</t>
  </si>
  <si>
    <t xml:space="preserve">نَسَق — تحليل الحساسية: أي متغير يحرك النتيجة أكثر؟</t>
  </si>
  <si>
    <r>
      <rPr>
        <sz val="11"/>
        <color theme="1"/>
        <rFont val="Arial Unicode MS"/>
        <family val="2"/>
      </rPr>
      <t xml:space="preserve">الخطة الأساسية </t>
    </r>
    <r>
      <rPr>
        <sz val="11"/>
        <color theme="1"/>
        <rFont val="Calibri"/>
        <family val="2"/>
        <charset val="1"/>
      </rPr>
      <t xml:space="preserve">(50 </t>
    </r>
    <r>
      <rPr>
        <sz val="11"/>
        <color theme="1"/>
        <rFont val="Arial Unicode MS"/>
        <family val="2"/>
      </rPr>
      <t xml:space="preserve">عقدًا، تمويل ذاتي، مفتاح العميل</t>
    </r>
    <r>
      <rPr>
        <sz val="11"/>
        <color theme="1"/>
        <rFont val="Calibri"/>
        <family val="2"/>
        <charset val="1"/>
      </rPr>
      <t xml:space="preserve">). </t>
    </r>
    <r>
      <rPr>
        <sz val="11"/>
        <color theme="1"/>
        <rFont val="Arial Unicode MS"/>
        <family val="2"/>
      </rPr>
      <t xml:space="preserve">القيم الأساسية مرتبطة بالأوراق الأخرى؛ خلايا الخطوات زرقاء على صفراء</t>
    </r>
    <r>
      <rPr>
        <sz val="11"/>
        <color theme="1"/>
        <rFont val="Calibri"/>
        <family val="2"/>
        <charset val="1"/>
      </rPr>
      <t xml:space="preserve">. </t>
    </r>
    <r>
      <rPr>
        <sz val="11"/>
        <color theme="1"/>
        <rFont val="Arial Unicode MS"/>
        <family val="2"/>
      </rPr>
      <t xml:space="preserve">الصيغ السنوية تقريبية </t>
    </r>
    <r>
      <rPr>
        <sz val="11"/>
        <color theme="1"/>
        <rFont val="Calibri"/>
        <family val="2"/>
        <charset val="1"/>
      </rPr>
      <t xml:space="preserve">(</t>
    </r>
    <r>
      <rPr>
        <sz val="11"/>
        <color theme="1"/>
        <rFont val="Arial Unicode MS"/>
        <family val="2"/>
      </rPr>
      <t xml:space="preserve">العميل يُخدم </t>
    </r>
    <r>
      <rPr>
        <sz val="11"/>
        <color theme="1"/>
        <rFont val="Calibri"/>
        <family val="2"/>
        <charset val="1"/>
      </rPr>
      <t xml:space="preserve">6 </t>
    </r>
    <r>
      <rPr>
        <sz val="11"/>
        <color theme="1"/>
        <rFont val="Arial Unicode MS"/>
        <family val="2"/>
      </rPr>
      <t xml:space="preserve">أشهر في المتوسط في سنة بيعه</t>
    </r>
    <r>
      <rPr>
        <sz val="11"/>
        <color theme="1"/>
        <rFont val="Calibri"/>
        <family val="2"/>
        <charset val="1"/>
      </rPr>
      <t xml:space="preserve">)</t>
    </r>
    <r>
      <rPr>
        <sz val="11"/>
        <color theme="1"/>
        <rFont val="Arial Unicode MS"/>
        <family val="2"/>
      </rPr>
      <t xml:space="preserve">، ولذلك تختلف قليلًا عن التدفق الشهري</t>
    </r>
    <r>
      <rPr>
        <sz val="11"/>
        <color theme="1"/>
        <rFont val="Calibri"/>
        <family val="2"/>
        <charset val="1"/>
      </rPr>
      <t xml:space="preserve">.</t>
    </r>
  </si>
  <si>
    <t xml:space="preserve">— القيم الأساسية (مرتبطة) —</t>
  </si>
  <si>
    <t xml:space="preserve">رسوم الدفع</t>
  </si>
  <si>
    <t xml:space="preserve">عقود جديدة 2027</t>
  </si>
  <si>
    <t xml:space="preserve">التكاليف الثابتة 2027</t>
  </si>
  <si>
    <t xml:space="preserve">تكلفة متغيرة شهرية للعميل</t>
  </si>
  <si>
    <t xml:space="preserve">إعداد العميل</t>
  </si>
  <si>
    <t xml:space="preserve">نسبة التجديد 2028</t>
  </si>
  <si>
    <t xml:space="preserve">عقود جديدة 2028</t>
  </si>
  <si>
    <t xml:space="preserve">زيادة متوسط العقد 2028</t>
  </si>
  <si>
    <t xml:space="preserve">التكاليف الثابتة 2028</t>
  </si>
  <si>
    <t xml:space="preserve">تكلفة متغيرة شهرية 2028</t>
  </si>
  <si>
    <t xml:space="preserve">— أ. أثر تغيير كل متغير وحده بنسبة ±20٪ (جدول الإعصار) —</t>
  </si>
  <si>
    <t xml:space="preserve">المتغير</t>
  </si>
  <si>
    <t xml:space="preserve">−20٪</t>
  </si>
  <si>
    <t xml:space="preserve">الأساس</t>
  </si>
  <si>
    <t xml:space="preserve">+20٪</t>
  </si>
  <si>
    <t xml:space="preserve">المدى</t>
  </si>
  <si>
    <t xml:space="preserve">متوسط العقد → النقد نهاية 2027</t>
  </si>
  <si>
    <t xml:space="preserve">نقد 2027</t>
  </si>
  <si>
    <t xml:space="preserve">عدد العقود 2027 → النقد نهاية 2027</t>
  </si>
  <si>
    <t xml:space="preserve">التكاليف الثابتة 2027 → النقد نهاية 2027</t>
  </si>
  <si>
    <t xml:space="preserve">التكلفة المتغيرة → النقد نهاية 2027</t>
  </si>
  <si>
    <t xml:space="preserve">متوسط العقد → عقود التعادل</t>
  </si>
  <si>
    <t xml:space="preserve">عقود</t>
  </si>
  <si>
    <t xml:space="preserve">التكاليف الثابتة → عقود التعادل</t>
  </si>
  <si>
    <t xml:space="preserve">نسبة التجديد 2028 → الربح التشغيلي 2028</t>
  </si>
  <si>
    <t xml:space="preserve">ربح 2028</t>
  </si>
  <si>
    <t xml:space="preserve">عقود جديدة 2028 → الربح التشغيلي 2028</t>
  </si>
  <si>
    <t xml:space="preserve">متوسط العقد → الربح التشغيلي 2028</t>
  </si>
  <si>
    <t xml:space="preserve">التكاليف الثابتة 2028 → الربح التشغيلي 2028</t>
  </si>
  <si>
    <t xml:space="preserve">عقود 2027 → الربح التشغيلي 2028 (عبر التجديد)</t>
  </si>
  <si>
    <t xml:space="preserve">القراءة: المدى (العمود E) هو حجم تأثير المتغير؛ كلما كبر، استحق قياسًا أدق قبل اتخاذ القرار.</t>
  </si>
  <si>
    <t xml:space="preserve">— ب. عقود التعادل حسب متوسط العقد (صفوف) والتكاليف الثابتة السنوية (أعمدة) —</t>
  </si>
  <si>
    <t xml:space="preserve">متوسط العقد ↓ / الثابت →</t>
  </si>
  <si>
    <t xml:space="preserve">— ج. النقد نهاية 2027 حسب عدد العقود (صفوف) ومتوسط العقد (أعمدة) —</t>
  </si>
  <si>
    <t xml:space="preserve">عدد العقود ↓ / متوسط العقد →</t>
  </si>
  <si>
    <t xml:space="preserve">— د. الربح التشغيلي 2028 حسب نسبة الفقد (صفوف) وعقود 2028 الجديدة (أعمدة) —</t>
  </si>
  <si>
    <t xml:space="preserve">الفقد ↓ / عقود 2028 →</t>
  </si>
  <si>
    <t xml:space="preserve">ملاحظة: التكاليف الثابتة في 2028 هنا ثابتة (291 ألفًا) مهما تغير عدد العقود؛ في الواقع عقود أكثر تحتاج دعمًا أكثر.</t>
  </si>
</sst>
</file>

<file path=xl/styles.xml><?xml version="1.0" encoding="utf-8"?>
<styleSheet xmlns="http://schemas.openxmlformats.org/spreadsheetml/2006/main">
  <numFmts count="8">
    <numFmt numFmtId="164" formatCode="General"/>
    <numFmt numFmtId="165" formatCode="#,##0&quot; ر.س&quot;;\(#,##0&quot; ر.س)&quot;;\-"/>
    <numFmt numFmtId="166" formatCode="0.0%"/>
    <numFmt numFmtId="167" formatCode="#,##0;\(#,##0\);\-"/>
    <numFmt numFmtId="168" formatCode="0.0"/>
    <numFmt numFmtId="169" formatCode="0.0\x"/>
    <numFmt numFmtId="170" formatCode="0"/>
    <numFmt numFmtId="171" formatCode="0%"/>
  </numFmts>
  <fonts count="18">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1"/>
      <color theme="1"/>
      <name val="Arial"/>
      <family val="0"/>
      <charset val="1"/>
    </font>
    <font>
      <i val="true"/>
      <sz val="10"/>
      <name val="Arial"/>
      <family val="0"/>
      <charset val="1"/>
    </font>
    <font>
      <b val="true"/>
      <sz val="11"/>
      <color rgb="FFFFFFFF"/>
      <name val="Arial"/>
      <family val="0"/>
      <charset val="1"/>
    </font>
    <font>
      <sz val="11"/>
      <color rgb="FF000000"/>
      <name val="Arial"/>
      <family val="0"/>
      <charset val="1"/>
    </font>
    <font>
      <sz val="11"/>
      <color rgb="FF008000"/>
      <name val="Arial"/>
      <family val="0"/>
      <charset val="1"/>
    </font>
    <font>
      <sz val="10"/>
      <name val="Arial"/>
      <family val="0"/>
      <charset val="1"/>
    </font>
    <font>
      <b val="true"/>
      <sz val="11"/>
      <color rgb="FF000000"/>
      <name val="Arial"/>
      <family val="0"/>
      <charset val="1"/>
    </font>
    <font>
      <b val="true"/>
      <sz val="11"/>
      <color rgb="FF008000"/>
      <name val="Arial"/>
      <family val="0"/>
      <charset val="1"/>
    </font>
    <font>
      <b val="true"/>
      <sz val="11"/>
      <name val="Arial"/>
      <family val="0"/>
      <charset val="1"/>
    </font>
    <font>
      <sz val="11"/>
      <color theme="1"/>
      <name val="Arial Unicode MS"/>
      <family val="2"/>
    </font>
    <font>
      <b val="true"/>
      <sz val="14"/>
      <name val="Arial"/>
      <family val="0"/>
      <charset val="1"/>
    </font>
    <font>
      <sz val="11"/>
      <color rgb="FF0000FF"/>
      <name val="Arial"/>
      <family val="0"/>
      <charset val="1"/>
    </font>
    <font>
      <sz val="11"/>
      <color theme="1"/>
      <name val="Arial Unicode MS"/>
      <family val="2"/>
      <charset val="1"/>
    </font>
  </fonts>
  <fills count="6">
    <fill>
      <patternFill patternType="none"/>
    </fill>
    <fill>
      <patternFill patternType="gray125"/>
    </fill>
    <fill>
      <patternFill patternType="solid">
        <fgColor rgb="FF1F4E78"/>
        <bgColor rgb="FF003366"/>
      </patternFill>
    </fill>
    <fill>
      <patternFill patternType="solid">
        <fgColor rgb="FFFFFF00"/>
        <bgColor rgb="FFFFFF00"/>
      </patternFill>
    </fill>
    <fill>
      <patternFill patternType="solid">
        <fgColor rgb="FFF2F2F2"/>
        <bgColor rgb="FFDDEBF7"/>
      </patternFill>
    </fill>
    <fill>
      <patternFill patternType="solid">
        <fgColor rgb="FFDDEBF7"/>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7" fontId="12" fillId="3" borderId="1" xfId="0" applyFont="true" applyBorder="true" applyAlignment="tru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bottom" textRotation="0" wrapText="false" indent="0" shrinkToFit="false"/>
      <protection locked="true" hidden="false"/>
    </xf>
    <xf numFmtId="165" fontId="12" fillId="3" borderId="1" xfId="0" applyFont="tru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4"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5" fontId="16" fillId="3" borderId="1" xfId="0" applyFont="true" applyBorder="true" applyAlignment="true" applyProtection="false">
      <alignment horizontal="general" vertical="bottom" textRotation="0" wrapText="false" indent="0" shrinkToFit="false"/>
      <protection locked="true" hidden="false"/>
    </xf>
    <xf numFmtId="167" fontId="16" fillId="3" borderId="1" xfId="0" applyFont="true" applyBorder="true" applyAlignment="true" applyProtection="false">
      <alignment horizontal="general" vertical="bottom" textRotation="0" wrapText="false" indent="0" shrinkToFit="false"/>
      <protection locked="true" hidden="false"/>
    </xf>
    <xf numFmtId="166" fontId="16" fillId="3" borderId="1" xfId="0" applyFont="tru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8" fillId="5"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7" fontId="11" fillId="5" borderId="1" xfId="0" applyFont="true" applyBorder="true" applyAlignment="tru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bottom" textRotation="0" wrapText="false" indent="0" shrinkToFit="false"/>
      <protection locked="true" hidden="false"/>
    </xf>
    <xf numFmtId="165" fontId="11" fillId="5" borderId="1" xfId="0" applyFont="true" applyBorder="true" applyAlignment="tru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general" vertical="bottom" textRotation="0" wrapText="false" indent="0" shrinkToFit="false"/>
      <protection locked="true" hidden="false"/>
    </xf>
    <xf numFmtId="165" fontId="11" fillId="3"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general" vertical="bottom" textRotation="0" wrapText="false" indent="0" shrinkToFit="false"/>
      <protection locked="true" hidden="false"/>
    </xf>
    <xf numFmtId="166" fontId="11" fillId="5" borderId="1"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true" indent="0" shrinkToFit="false"/>
      <protection locked="true" hidden="false"/>
    </xf>
    <xf numFmtId="167" fontId="9" fillId="3"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8" fontId="16" fillId="3"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70" fontId="9" fillId="0" borderId="1" xfId="0" applyFont="true" applyBorder="true" applyAlignment="true" applyProtection="false">
      <alignment horizontal="general" vertical="bottom" textRotation="0" wrapText="false" indent="0" shrinkToFit="false"/>
      <protection locked="true" hidden="false"/>
    </xf>
    <xf numFmtId="170" fontId="8" fillId="0" borderId="1" xfId="0" applyFont="true" applyBorder="true" applyAlignment="true" applyProtection="false">
      <alignment horizontal="general" vertical="bottom" textRotation="0" wrapText="false" indent="0" shrinkToFit="false"/>
      <protection locked="true" hidden="false"/>
    </xf>
    <xf numFmtId="170" fontId="16" fillId="3" borderId="1" xfId="0" applyFont="true" applyBorder="true" applyAlignment="true" applyProtection="false">
      <alignment horizontal="general" vertical="bottom" textRotation="0" wrapText="false" indent="0" shrinkToFit="false"/>
      <protection locked="true" hidden="false"/>
    </xf>
    <xf numFmtId="171" fontId="16"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6"/>
    <col collapsed="false" customWidth="true" hidden="false" outlineLevel="0" max="2" min="2" style="1" width="20"/>
    <col collapsed="false" customWidth="true" hidden="false" outlineLevel="0" max="3" min="3" style="1" width="50"/>
  </cols>
  <sheetData>
    <row r="1" customFormat="false" ht="18" hidden="false" customHeight="true" outlineLevel="0" collapsed="false">
      <c r="A1" s="2" t="s">
        <v>0</v>
      </c>
      <c r="B1" s="3"/>
      <c r="C1" s="3"/>
    </row>
    <row r="2" customFormat="false" ht="15" hidden="false" customHeight="true" outlineLevel="0" collapsed="false">
      <c r="A2" s="4" t="s">
        <v>1</v>
      </c>
      <c r="B2" s="3"/>
      <c r="C2" s="3"/>
    </row>
    <row r="3" customFormat="false" ht="15" hidden="false" customHeight="true" outlineLevel="0" collapsed="false">
      <c r="A3" s="3"/>
      <c r="B3" s="3"/>
      <c r="C3" s="3"/>
    </row>
    <row r="4" customFormat="false" ht="15" hidden="false" customHeight="true" outlineLevel="0" collapsed="false">
      <c r="A4" s="5" t="s">
        <v>2</v>
      </c>
      <c r="B4" s="5" t="s">
        <v>3</v>
      </c>
      <c r="C4" s="5" t="s">
        <v>4</v>
      </c>
    </row>
    <row r="5" customFormat="false" ht="15" hidden="false" customHeight="true" outlineLevel="0" collapsed="false">
      <c r="A5" s="6" t="s">
        <v>5</v>
      </c>
      <c r="B5" s="7" t="n">
        <f aca="false">'التدفق الشهري'!N31</f>
        <v>141584.28376721</v>
      </c>
      <c r="C5" s="8" t="s">
        <v>6</v>
      </c>
    </row>
    <row r="6" customFormat="false" ht="15" hidden="false" customHeight="true" outlineLevel="0" collapsed="false">
      <c r="A6" s="6" t="s">
        <v>7</v>
      </c>
      <c r="B6" s="7" t="n">
        <f aca="false">'نقطة التعادل'!B4</f>
        <v>9982.0236472675</v>
      </c>
      <c r="C6" s="8"/>
    </row>
    <row r="7" customFormat="false" ht="15" hidden="false" customHeight="true" outlineLevel="0" collapsed="false">
      <c r="A7" s="6" t="s">
        <v>8</v>
      </c>
      <c r="B7" s="7" t="n">
        <f aca="false">'نقطة التعادل'!B5</f>
        <v>16253.11670611</v>
      </c>
      <c r="C7" s="8" t="s">
        <v>9</v>
      </c>
    </row>
    <row r="8" customFormat="false" ht="15" hidden="false" customHeight="true" outlineLevel="0" collapsed="false">
      <c r="A8" s="3"/>
      <c r="B8" s="3"/>
      <c r="C8" s="3"/>
    </row>
    <row r="9" customFormat="false" ht="15" hidden="false" customHeight="true" outlineLevel="0" collapsed="false">
      <c r="A9" s="6" t="s">
        <v>10</v>
      </c>
      <c r="B9" s="7" t="n">
        <f aca="false">'نقطة التعادل'!B10</f>
        <v>476.09375</v>
      </c>
      <c r="C9" s="8" t="s">
        <v>11</v>
      </c>
    </row>
    <row r="10" customFormat="false" ht="15" hidden="false" customHeight="true" outlineLevel="0" collapsed="false">
      <c r="A10" s="6" t="s">
        <v>12</v>
      </c>
      <c r="B10" s="9" t="n">
        <f aca="false">'نقطة التعادل'!B11</f>
        <v>0.904959904959905</v>
      </c>
      <c r="C10" s="8"/>
    </row>
    <row r="11" customFormat="false" ht="15" hidden="false" customHeight="true" outlineLevel="0" collapsed="false">
      <c r="A11" s="3"/>
      <c r="B11" s="3"/>
      <c r="C11" s="3"/>
    </row>
    <row r="12" customFormat="false" ht="15" hidden="false" customHeight="true" outlineLevel="0" collapsed="false">
      <c r="A12" s="10" t="s">
        <v>13</v>
      </c>
      <c r="B12" s="11" t="n">
        <f aca="false">'نقطة التعادل'!B15</f>
        <v>22</v>
      </c>
      <c r="C12" s="8" t="s">
        <v>14</v>
      </c>
    </row>
    <row r="13" customFormat="false" ht="15" hidden="false" customHeight="true" outlineLevel="0" collapsed="false">
      <c r="A13" s="6" t="s">
        <v>15</v>
      </c>
      <c r="B13" s="12" t="n">
        <f aca="false">'نقطة التعادل'!B14</f>
        <v>35</v>
      </c>
      <c r="C13" s="8" t="s">
        <v>16</v>
      </c>
    </row>
    <row r="14" customFormat="false" ht="15" hidden="false" customHeight="true" outlineLevel="0" collapsed="false">
      <c r="A14" s="6" t="s">
        <v>17</v>
      </c>
      <c r="B14" s="12" t="n">
        <f aca="false">'نقطة التعادل'!B16</f>
        <v>50</v>
      </c>
      <c r="C14" s="8" t="s">
        <v>18</v>
      </c>
    </row>
    <row r="15" customFormat="false" ht="15" hidden="false" customHeight="true" outlineLevel="0" collapsed="false">
      <c r="A15" s="6" t="s">
        <v>19</v>
      </c>
      <c r="B15" s="12" t="n">
        <f aca="false">'نقطة التعادل'!B17</f>
        <v>28</v>
      </c>
      <c r="C15" s="8" t="s">
        <v>20</v>
      </c>
    </row>
    <row r="16" customFormat="false" ht="15" hidden="false" customHeight="true" outlineLevel="0" collapsed="false">
      <c r="A16" s="3"/>
      <c r="B16" s="3"/>
      <c r="C16" s="3"/>
    </row>
    <row r="17" customFormat="false" ht="15" hidden="false" customHeight="true" outlineLevel="0" collapsed="false">
      <c r="A17" s="6" t="s">
        <v>21</v>
      </c>
      <c r="B17" s="7" t="n">
        <f aca="false">'التدفق الشهري'!N11</f>
        <v>315656.25</v>
      </c>
      <c r="C17" s="8"/>
    </row>
    <row r="18" customFormat="false" ht="15" hidden="false" customHeight="true" outlineLevel="0" collapsed="false">
      <c r="A18" s="6" t="s">
        <v>22</v>
      </c>
      <c r="B18" s="7" t="n">
        <f aca="false">'التدفق الشهري'!N35</f>
        <v>174071.96623279</v>
      </c>
      <c r="C18" s="8"/>
    </row>
    <row r="19" customFormat="false" ht="15" hidden="false" customHeight="true" outlineLevel="0" collapsed="false">
      <c r="A19" s="10" t="s">
        <v>23</v>
      </c>
      <c r="B19" s="13" t="n">
        <f aca="false">'التدفق الشهري'!B39</f>
        <v>-4100</v>
      </c>
      <c r="C19" s="8" t="s">
        <v>24</v>
      </c>
    </row>
    <row r="20" customFormat="false" ht="15" hidden="false" customHeight="true" outlineLevel="0" collapsed="false">
      <c r="A20" s="6" t="s">
        <v>25</v>
      </c>
      <c r="B20" s="7" t="n">
        <f aca="false">'التدفق الشهري'!B40</f>
        <v>191498.125</v>
      </c>
      <c r="C20" s="8" t="s">
        <v>26</v>
      </c>
    </row>
    <row r="21" customFormat="false" ht="15" hidden="false" customHeight="true" outlineLevel="0" collapsed="false">
      <c r="A21" s="3"/>
      <c r="B21" s="3"/>
      <c r="C21" s="3"/>
    </row>
    <row r="22" customFormat="false" ht="15" hidden="false" customHeight="true" outlineLevel="0" collapsed="false">
      <c r="A22" s="6" t="s">
        <v>27</v>
      </c>
      <c r="B22" s="7" t="n">
        <f aca="false">'نقطة التعادل'!B27</f>
        <v>1147.6856753442</v>
      </c>
      <c r="C22" s="8"/>
    </row>
    <row r="23" customFormat="false" ht="15" hidden="false" customHeight="true" outlineLevel="0" collapsed="false">
      <c r="A23" s="6" t="s">
        <v>28</v>
      </c>
      <c r="B23" s="14" t="n">
        <f aca="false">'نقطة التعادل'!B29</f>
        <v>2.41062957735572</v>
      </c>
      <c r="C23" s="8" t="s">
        <v>29</v>
      </c>
    </row>
    <row r="24" customFormat="false" ht="15" hidden="false" customHeight="true" outlineLevel="0" collapsed="false">
      <c r="A24" s="6" t="s">
        <v>30</v>
      </c>
      <c r="B24" s="3"/>
      <c r="C24" s="3"/>
    </row>
    <row r="25" customFormat="false" ht="15" hidden="false" customHeight="true" outlineLevel="0" collapsed="false">
      <c r="A25" s="6" t="s">
        <v>31</v>
      </c>
      <c r="B25" s="7" t="n">
        <f aca="false">'ثلاث سنوات'!C38</f>
        <v>392052.16171875</v>
      </c>
      <c r="C25" s="7" t="n">
        <f aca="false">'ثلاث سنوات'!D38</f>
        <v>1136259.74170312</v>
      </c>
    </row>
    <row r="26" customFormat="false" ht="15" hidden="false" customHeight="true" outlineLevel="0" collapsed="false">
      <c r="A26" s="6" t="s">
        <v>32</v>
      </c>
      <c r="B26" s="9" t="n">
        <f aca="false">'ثلاث سنوات'!D35</f>
        <v>0.660188796479768</v>
      </c>
      <c r="C26" s="7"/>
    </row>
    <row r="27" customFormat="false" ht="15" hidden="false" customHeight="true" outlineLevel="0" collapsed="false">
      <c r="A27" s="6" t="s">
        <v>33</v>
      </c>
      <c r="B27" s="9" t="n">
        <f aca="false">'ثلاث سنوات'!C8</f>
        <v>0.15</v>
      </c>
      <c r="C27" s="9" t="n">
        <f aca="false">'ثلاث سنوات'!D8</f>
        <v>0.12</v>
      </c>
    </row>
    <row r="28" customFormat="false" ht="15" hidden="false" customHeight="true" outlineLevel="0" collapsed="false">
      <c r="A28" s="6" t="s">
        <v>34</v>
      </c>
      <c r="B28" s="7" t="n">
        <f aca="false">'نمو متسارع'!D40</f>
        <v>5019000</v>
      </c>
      <c r="C28" s="7" t="n">
        <f aca="false">'نمو متسارع'!D49</f>
        <v>640036.630434783</v>
      </c>
    </row>
    <row r="29" customFormat="false" ht="15" hidden="false" customHeight="true" outlineLevel="0" collapsed="false">
      <c r="A29" s="15" t="s">
        <v>35</v>
      </c>
      <c r="B29" s="3"/>
      <c r="C29" s="3"/>
    </row>
    <row r="30" customFormat="false" ht="15" hidden="false" customHeight="true" outlineLevel="0" collapsed="false">
      <c r="A30" s="15" t="s">
        <v>36</v>
      </c>
      <c r="B30" s="3"/>
      <c r="C30" s="3"/>
    </row>
    <row r="31" customFormat="false" ht="15" hidden="false" customHeight="true" outlineLevel="0" collapsed="false">
      <c r="A31" s="16" t="s">
        <v>37</v>
      </c>
      <c r="B31" s="3"/>
      <c r="C31" s="3"/>
    </row>
    <row r="32" customFormat="false" ht="15" hidden="false" customHeight="true" outlineLevel="0" collapsed="false">
      <c r="A32" s="17" t="s">
        <v>38</v>
      </c>
      <c r="B32" s="3"/>
      <c r="C32" s="3"/>
    </row>
    <row r="33" customFormat="false" ht="15" hidden="false" customHeight="true" outlineLevel="0" collapsed="false">
      <c r="A33" s="17"/>
      <c r="B33" s="3"/>
      <c r="C33" s="3"/>
    </row>
    <row r="34" customFormat="false" ht="15" hidden="false" customHeight="true" outlineLevel="0" collapsed="false">
      <c r="A34" s="17" t="s">
        <v>39</v>
      </c>
      <c r="B34" s="3"/>
      <c r="C34" s="3"/>
    </row>
    <row r="35" customFormat="false" ht="15" hidden="false" customHeight="true" outlineLevel="0" collapsed="false">
      <c r="A35" s="17" t="s">
        <v>40</v>
      </c>
      <c r="B35" s="3"/>
      <c r="C35" s="3"/>
    </row>
    <row r="36" customFormat="false" ht="15" hidden="false" customHeight="true" outlineLevel="0" collapsed="false">
      <c r="A36" s="17" t="s">
        <v>41</v>
      </c>
      <c r="B36" s="3"/>
      <c r="C36" s="3"/>
    </row>
    <row r="37" customFormat="false" ht="15" hidden="false" customHeight="true" outlineLevel="0" collapsed="false">
      <c r="A37" s="17" t="s">
        <v>42</v>
      </c>
    </row>
    <row r="38" customFormat="false" ht="15.75" hidden="false" customHeight="true" outlineLevel="0" collapsed="false">
      <c r="A38" s="1" t="s">
        <v>43</v>
      </c>
    </row>
    <row r="39" customFormat="false" ht="15.75" hidden="false" customHeight="true" outlineLevel="0" collapsed="false">
      <c r="A39" s="1" t="s">
        <v>44</v>
      </c>
    </row>
    <row r="40" customFormat="false" ht="15.75" hidden="false" customHeight="true" outlineLevel="0" collapsed="false">
      <c r="A40" s="1" t="s">
        <v>45</v>
      </c>
    </row>
    <row r="41" customFormat="false" ht="15.75" hidden="false" customHeight="true" outlineLevel="0" collapsed="false">
      <c r="A41" s="1" t="s">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9"/>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60"/>
  </cols>
  <sheetData>
    <row r="1" customFormat="false" ht="16.5" hidden="false" customHeight="true" outlineLevel="0" collapsed="false">
      <c r="A1" s="18" t="s">
        <v>47</v>
      </c>
      <c r="B1" s="3"/>
      <c r="C1" s="3"/>
    </row>
    <row r="2" customFormat="false" ht="15" hidden="false" customHeight="true" outlineLevel="0" collapsed="false">
      <c r="A2" s="4" t="s">
        <v>48</v>
      </c>
      <c r="B2" s="3"/>
      <c r="C2" s="3"/>
    </row>
    <row r="3" customFormat="false" ht="15" hidden="false" customHeight="true" outlineLevel="0" collapsed="false">
      <c r="A3" s="3"/>
      <c r="B3" s="3"/>
      <c r="C3" s="3"/>
    </row>
    <row r="4" customFormat="false" ht="15" hidden="false" customHeight="true" outlineLevel="0" collapsed="false">
      <c r="A4" s="5" t="s">
        <v>49</v>
      </c>
      <c r="B4" s="5" t="s">
        <v>3</v>
      </c>
      <c r="C4" s="5" t="s">
        <v>50</v>
      </c>
    </row>
    <row r="5" customFormat="false" ht="15" hidden="false" customHeight="true" outlineLevel="0" collapsed="false">
      <c r="A5" s="6" t="s">
        <v>51</v>
      </c>
      <c r="B5" s="19" t="s">
        <v>52</v>
      </c>
      <c r="C5" s="20" t="s">
        <v>53</v>
      </c>
    </row>
    <row r="6" customFormat="false" ht="15" hidden="false" customHeight="true" outlineLevel="0" collapsed="false">
      <c r="A6" s="21" t="s">
        <v>54</v>
      </c>
      <c r="B6" s="22"/>
      <c r="C6" s="22"/>
    </row>
    <row r="7" customFormat="false" ht="15" hidden="false" customHeight="true" outlineLevel="0" collapsed="false">
      <c r="A7" s="6" t="s">
        <v>55</v>
      </c>
      <c r="B7" s="23" t="n">
        <v>4000</v>
      </c>
      <c r="C7" s="20" t="s">
        <v>56</v>
      </c>
    </row>
    <row r="8" customFormat="false" ht="15" hidden="false" customHeight="true" outlineLevel="0" collapsed="false">
      <c r="A8" s="6" t="s">
        <v>57</v>
      </c>
      <c r="B8" s="24" t="n">
        <v>7</v>
      </c>
      <c r="C8" s="20" t="s">
        <v>58</v>
      </c>
    </row>
    <row r="9" customFormat="false" ht="15" hidden="false" customHeight="true" outlineLevel="0" collapsed="false">
      <c r="A9" s="6" t="s">
        <v>59</v>
      </c>
      <c r="B9" s="23" t="n">
        <v>6000</v>
      </c>
      <c r="C9" s="20" t="s">
        <v>56</v>
      </c>
    </row>
    <row r="10" customFormat="false" ht="23.25" hidden="false" customHeight="true" outlineLevel="0" collapsed="false">
      <c r="A10" s="6" t="s">
        <v>60</v>
      </c>
      <c r="B10" s="24" t="n">
        <v>7</v>
      </c>
      <c r="C10" s="20" t="s">
        <v>61</v>
      </c>
    </row>
    <row r="11" customFormat="false" ht="15" hidden="false" customHeight="true" outlineLevel="0" collapsed="false">
      <c r="A11" s="6" t="s">
        <v>62</v>
      </c>
      <c r="B11" s="25" t="n">
        <v>0</v>
      </c>
      <c r="C11" s="20" t="s">
        <v>63</v>
      </c>
    </row>
    <row r="12" customFormat="false" ht="15" hidden="false" customHeight="true" outlineLevel="0" collapsed="false">
      <c r="A12" s="6" t="s">
        <v>64</v>
      </c>
      <c r="B12" s="23" t="n">
        <v>2000</v>
      </c>
      <c r="C12" s="20" t="s">
        <v>56</v>
      </c>
    </row>
    <row r="13" customFormat="false" ht="15" hidden="false" customHeight="true" outlineLevel="0" collapsed="false">
      <c r="A13" s="6" t="s">
        <v>65</v>
      </c>
      <c r="B13" s="23" t="n">
        <v>1000</v>
      </c>
      <c r="C13" s="20" t="s">
        <v>66</v>
      </c>
    </row>
    <row r="14" customFormat="false" ht="45.75" hidden="false" customHeight="true" outlineLevel="0" collapsed="false">
      <c r="A14" s="6" t="s">
        <v>67</v>
      </c>
      <c r="B14" s="25" t="n">
        <v>0.1</v>
      </c>
      <c r="C14" s="20" t="s">
        <v>68</v>
      </c>
    </row>
    <row r="15" customFormat="false" ht="34.5" hidden="false" customHeight="true" outlineLevel="0" collapsed="false">
      <c r="A15" s="6" t="s">
        <v>69</v>
      </c>
      <c r="B15" s="23" t="n">
        <v>300</v>
      </c>
      <c r="C15" s="20" t="s">
        <v>70</v>
      </c>
    </row>
    <row r="16" customFormat="false" ht="15" hidden="false" customHeight="true" outlineLevel="0" collapsed="false">
      <c r="A16" s="6" t="s">
        <v>71</v>
      </c>
      <c r="B16" s="23" t="n">
        <v>600</v>
      </c>
      <c r="C16" s="20" t="s">
        <v>72</v>
      </c>
    </row>
    <row r="17" customFormat="false" ht="15" hidden="false" customHeight="true" outlineLevel="0" collapsed="false">
      <c r="A17" s="6" t="s">
        <v>73</v>
      </c>
      <c r="B17" s="24" t="n">
        <v>30</v>
      </c>
      <c r="C17" s="20" t="s">
        <v>74</v>
      </c>
    </row>
    <row r="18" customFormat="false" ht="15" hidden="false" customHeight="true" outlineLevel="0" collapsed="false">
      <c r="A18" s="6" t="s">
        <v>75</v>
      </c>
      <c r="B18" s="23" t="n">
        <v>300</v>
      </c>
      <c r="C18" s="20" t="s">
        <v>76</v>
      </c>
    </row>
    <row r="19" customFormat="false" ht="15" hidden="false" customHeight="true" outlineLevel="0" collapsed="false">
      <c r="A19" s="6" t="s">
        <v>77</v>
      </c>
      <c r="B19" s="23" t="n">
        <v>500</v>
      </c>
      <c r="C19" s="20" t="s">
        <v>78</v>
      </c>
    </row>
    <row r="20" customFormat="false" ht="15" hidden="false" customHeight="true" outlineLevel="0" collapsed="false">
      <c r="A20" s="21" t="s">
        <v>79</v>
      </c>
      <c r="B20" s="21"/>
      <c r="C20" s="21"/>
    </row>
    <row r="21" customFormat="false" ht="15" hidden="false" customHeight="true" outlineLevel="0" collapsed="false">
      <c r="A21" s="6" t="s">
        <v>80</v>
      </c>
      <c r="B21" s="25" t="n">
        <v>0.15</v>
      </c>
      <c r="C21" s="20" t="s">
        <v>81</v>
      </c>
    </row>
    <row r="22" customFormat="false" ht="23.25" hidden="false" customHeight="true" outlineLevel="0" collapsed="false">
      <c r="A22" s="6" t="s">
        <v>82</v>
      </c>
      <c r="B22" s="25" t="n">
        <v>0.025</v>
      </c>
      <c r="C22" s="20" t="s">
        <v>83</v>
      </c>
    </row>
    <row r="23" customFormat="false" ht="15" hidden="false" customHeight="true" outlineLevel="0" collapsed="false">
      <c r="A23" s="6" t="s">
        <v>84</v>
      </c>
      <c r="B23" s="23" t="n">
        <v>3500</v>
      </c>
      <c r="C23" s="20" t="s">
        <v>85</v>
      </c>
    </row>
    <row r="24" customFormat="false" ht="15" hidden="false" customHeight="true" outlineLevel="0" collapsed="false">
      <c r="A24" s="6" t="s">
        <v>86</v>
      </c>
      <c r="B24" s="23" t="n">
        <v>8000</v>
      </c>
      <c r="C24" s="20" t="s">
        <v>87</v>
      </c>
    </row>
    <row r="25" customFormat="false" ht="15" hidden="false" customHeight="true" outlineLevel="0" collapsed="false">
      <c r="A25" s="6" t="s">
        <v>88</v>
      </c>
      <c r="B25" s="23" t="n">
        <v>20000</v>
      </c>
      <c r="C25" s="20" t="s">
        <v>89</v>
      </c>
    </row>
    <row r="26" customFormat="false" ht="15" hidden="false" customHeight="true" outlineLevel="0" collapsed="false">
      <c r="A26" s="6" t="s">
        <v>90</v>
      </c>
      <c r="B26" s="23" t="n">
        <v>1000</v>
      </c>
      <c r="C26" s="20" t="s">
        <v>91</v>
      </c>
    </row>
    <row r="27" customFormat="false" ht="15" hidden="false" customHeight="true" outlineLevel="0" collapsed="false">
      <c r="A27" s="6" t="s">
        <v>92</v>
      </c>
      <c r="B27" s="23" t="n">
        <v>2500</v>
      </c>
      <c r="C27" s="20" t="s">
        <v>91</v>
      </c>
    </row>
    <row r="28" customFormat="false" ht="15" hidden="false" customHeight="true" outlineLevel="0" collapsed="false">
      <c r="A28" s="6" t="s">
        <v>93</v>
      </c>
      <c r="B28" s="23" t="n">
        <v>6000</v>
      </c>
      <c r="C28" s="20" t="s">
        <v>91</v>
      </c>
    </row>
    <row r="29" customFormat="false" ht="15" hidden="false" customHeight="true" outlineLevel="0" collapsed="false">
      <c r="A29" s="6" t="s">
        <v>94</v>
      </c>
      <c r="B29" s="25" t="n">
        <v>0.5</v>
      </c>
      <c r="C29" s="20" t="s">
        <v>95</v>
      </c>
    </row>
    <row r="30" customFormat="false" ht="15" hidden="false" customHeight="true" outlineLevel="0" collapsed="false">
      <c r="A30" s="21" t="s">
        <v>96</v>
      </c>
      <c r="B30" s="21"/>
      <c r="C30" s="21"/>
    </row>
    <row r="31" customFormat="false" ht="15" hidden="false" customHeight="true" outlineLevel="0" collapsed="false">
      <c r="A31" s="6" t="s">
        <v>97</v>
      </c>
      <c r="B31" s="25" t="n">
        <v>0.6</v>
      </c>
      <c r="C31" s="20" t="s">
        <v>98</v>
      </c>
    </row>
    <row r="32" customFormat="false" ht="15" hidden="false" customHeight="true" outlineLevel="0" collapsed="false">
      <c r="A32" s="6" t="s">
        <v>99</v>
      </c>
      <c r="B32" s="25" t="n">
        <v>0.3</v>
      </c>
      <c r="C32" s="20" t="s">
        <v>76</v>
      </c>
    </row>
    <row r="33" customFormat="false" ht="15" hidden="false" customHeight="true" outlineLevel="0" collapsed="false">
      <c r="A33" s="6" t="s">
        <v>100</v>
      </c>
      <c r="B33" s="25" t="n">
        <v>0.1</v>
      </c>
      <c r="C33" s="20" t="s">
        <v>76</v>
      </c>
    </row>
    <row r="34" customFormat="false" ht="15" hidden="false" customHeight="true" outlineLevel="0" collapsed="false">
      <c r="A34" s="6" t="s">
        <v>101</v>
      </c>
      <c r="B34" s="26" t="n">
        <f aca="false">B31+B32+B33</f>
        <v>1</v>
      </c>
      <c r="C34" s="20" t="s">
        <v>102</v>
      </c>
    </row>
    <row r="35" customFormat="false" ht="15" hidden="false" customHeight="true" outlineLevel="0" collapsed="false">
      <c r="A35" s="6" t="s">
        <v>103</v>
      </c>
      <c r="B35" s="27" t="n">
        <f aca="false">B23*B31+B24*B32+B25*B33</f>
        <v>6500</v>
      </c>
      <c r="C35" s="20" t="s">
        <v>104</v>
      </c>
    </row>
    <row r="36" customFormat="false" ht="15" hidden="false" customHeight="true" outlineLevel="0" collapsed="false">
      <c r="A36" s="6" t="s">
        <v>105</v>
      </c>
      <c r="B36" s="27" t="n">
        <f aca="false">(B26*B31+B27*B32+B28*B33)*B29</f>
        <v>975</v>
      </c>
      <c r="C36" s="20" t="s">
        <v>106</v>
      </c>
    </row>
    <row r="37" customFormat="false" ht="15" hidden="false" customHeight="true" outlineLevel="0" collapsed="false">
      <c r="A37" s="6" t="s">
        <v>107</v>
      </c>
      <c r="B37" s="27" t="n">
        <f aca="false">B35+B36</f>
        <v>7475</v>
      </c>
      <c r="C37" s="20" t="s">
        <v>108</v>
      </c>
    </row>
    <row r="38" customFormat="false" ht="15" hidden="false" customHeight="true" outlineLevel="0" collapsed="false">
      <c r="A38" s="6" t="s">
        <v>109</v>
      </c>
      <c r="B38" s="27" t="n">
        <f aca="false">B37/(1+B21)</f>
        <v>6500</v>
      </c>
      <c r="C38" s="20"/>
    </row>
    <row r="39" customFormat="false" ht="15" hidden="false" customHeight="true" outlineLevel="0" collapsed="false">
      <c r="A39" s="6" t="s">
        <v>110</v>
      </c>
      <c r="B39" s="27" t="n">
        <f aca="false">B38-B37*B22</f>
        <v>6313.125</v>
      </c>
      <c r="C39" s="20" t="s">
        <v>111</v>
      </c>
    </row>
    <row r="40" customFormat="false" ht="15" hidden="false" customHeight="true" outlineLevel="0" collapsed="false">
      <c r="A40" s="21" t="s">
        <v>112</v>
      </c>
      <c r="B40" s="22"/>
      <c r="C40" s="22"/>
    </row>
    <row r="41" customFormat="false" ht="15" hidden="false" customHeight="true" outlineLevel="0" collapsed="false">
      <c r="A41" s="6" t="s">
        <v>113</v>
      </c>
      <c r="B41" s="23" t="n">
        <v>25</v>
      </c>
      <c r="C41" s="20" t="s">
        <v>114</v>
      </c>
    </row>
    <row r="42" customFormat="false" ht="15" hidden="false" customHeight="true" outlineLevel="0" collapsed="false">
      <c r="A42" s="6" t="s">
        <v>115</v>
      </c>
      <c r="B42" s="24" t="n">
        <v>0.5</v>
      </c>
      <c r="C42" s="20" t="s">
        <v>116</v>
      </c>
    </row>
    <row r="43" customFormat="false" ht="15" hidden="false" customHeight="true" outlineLevel="0" collapsed="false">
      <c r="A43" s="6" t="s">
        <v>117</v>
      </c>
      <c r="B43" s="23" t="n">
        <v>50</v>
      </c>
      <c r="C43" s="20" t="s">
        <v>118</v>
      </c>
    </row>
    <row r="44" customFormat="false" ht="15" hidden="false" customHeight="true" outlineLevel="0" collapsed="false">
      <c r="A44" s="6" t="s">
        <v>119</v>
      </c>
      <c r="B44" s="27" t="n">
        <f aca="false">B41+B42*B43+B54</f>
        <v>50</v>
      </c>
      <c r="C44" s="20" t="s">
        <v>120</v>
      </c>
    </row>
    <row r="45" customFormat="false" ht="15" hidden="false" customHeight="true" outlineLevel="0" collapsed="false">
      <c r="A45" s="6" t="s">
        <v>121</v>
      </c>
      <c r="B45" s="23" t="n">
        <v>200</v>
      </c>
      <c r="C45" s="20" t="s">
        <v>122</v>
      </c>
    </row>
    <row r="46" customFormat="false" ht="15" hidden="false" customHeight="true" outlineLevel="0" collapsed="false">
      <c r="A46" s="21" t="s">
        <v>123</v>
      </c>
      <c r="B46" s="21"/>
      <c r="C46" s="21"/>
    </row>
    <row r="47" customFormat="false" ht="15" hidden="false" customHeight="true" outlineLevel="0" collapsed="false">
      <c r="A47" s="6" t="s">
        <v>124</v>
      </c>
      <c r="B47" s="23" t="n">
        <v>0</v>
      </c>
      <c r="C47" s="20" t="s">
        <v>125</v>
      </c>
    </row>
    <row r="48" customFormat="false" ht="15" hidden="false" customHeight="true" outlineLevel="0" collapsed="false">
      <c r="A48" s="6" t="s">
        <v>126</v>
      </c>
      <c r="B48" s="24" t="n">
        <v>1</v>
      </c>
      <c r="C48" s="20" t="s">
        <v>127</v>
      </c>
    </row>
    <row r="49" customFormat="false" ht="15" hidden="false" customHeight="true" outlineLevel="0" collapsed="false">
      <c r="A49" s="6" t="s">
        <v>128</v>
      </c>
      <c r="B49" s="24" t="n">
        <v>8</v>
      </c>
      <c r="C49" s="20" t="s">
        <v>129</v>
      </c>
    </row>
    <row r="50" customFormat="false" ht="15" hidden="false" customHeight="true" outlineLevel="0" collapsed="false">
      <c r="A50" s="6" t="s">
        <v>130</v>
      </c>
      <c r="B50" s="24" t="n">
        <v>20</v>
      </c>
      <c r="C50" s="20" t="s">
        <v>131</v>
      </c>
    </row>
    <row r="51" customFormat="false" ht="15" hidden="false" customHeight="true" outlineLevel="0" collapsed="false">
      <c r="A51" s="6" t="s">
        <v>132</v>
      </c>
      <c r="B51" s="24" t="n">
        <v>60</v>
      </c>
      <c r="C51" s="20" t="s">
        <v>133</v>
      </c>
    </row>
    <row r="52" customFormat="false" ht="15" hidden="false" customHeight="true" outlineLevel="0" collapsed="false">
      <c r="A52" s="6" t="s">
        <v>134</v>
      </c>
      <c r="B52" s="27" t="n">
        <f aca="false">B49*B31+B50*B32+B51*B33</f>
        <v>16.8</v>
      </c>
      <c r="C52" s="20" t="s">
        <v>104</v>
      </c>
    </row>
    <row r="53" customFormat="false" ht="15" hidden="false" customHeight="true" outlineLevel="0" collapsed="false">
      <c r="A53" s="6" t="s">
        <v>135</v>
      </c>
      <c r="B53" s="23" t="n">
        <v>0</v>
      </c>
      <c r="C53" s="20" t="s">
        <v>136</v>
      </c>
    </row>
    <row r="54" customFormat="false" ht="15" hidden="false" customHeight="true" outlineLevel="0" collapsed="false">
      <c r="A54" s="6" t="s">
        <v>137</v>
      </c>
      <c r="B54" s="27" t="n">
        <f aca="false">B52*B53</f>
        <v>0</v>
      </c>
      <c r="C54" s="20" t="s">
        <v>138</v>
      </c>
    </row>
    <row r="55" customFormat="false" ht="15" hidden="false" customHeight="true" outlineLevel="0" collapsed="false">
      <c r="A55" s="21" t="s">
        <v>139</v>
      </c>
      <c r="B55" s="22"/>
      <c r="C55" s="22"/>
    </row>
    <row r="56" customFormat="false" ht="15" hidden="false" customHeight="true" outlineLevel="0" collapsed="false">
      <c r="A56" s="6" t="s">
        <v>140</v>
      </c>
      <c r="B56" s="24" t="n">
        <v>0</v>
      </c>
      <c r="C56" s="28" t="s">
        <v>141</v>
      </c>
    </row>
    <row r="57" customFormat="false" ht="15" hidden="false" customHeight="true" outlineLevel="0" collapsed="false">
      <c r="A57" s="6" t="s">
        <v>142</v>
      </c>
      <c r="B57" s="24" t="n">
        <v>1</v>
      </c>
      <c r="C57" s="28" t="s">
        <v>143</v>
      </c>
    </row>
    <row r="58" customFormat="false" ht="15" hidden="false" customHeight="true" outlineLevel="0" collapsed="false">
      <c r="A58" s="6" t="s">
        <v>144</v>
      </c>
      <c r="B58" s="24" t="n">
        <v>2</v>
      </c>
      <c r="C58" s="28" t="s">
        <v>143</v>
      </c>
    </row>
    <row r="59" customFormat="false" ht="15" hidden="false" customHeight="true" outlineLevel="0" collapsed="false">
      <c r="A59" s="6" t="s">
        <v>145</v>
      </c>
      <c r="B59" s="24" t="n">
        <v>3</v>
      </c>
      <c r="C59" s="28" t="s">
        <v>143</v>
      </c>
    </row>
    <row r="60" customFormat="false" ht="15" hidden="false" customHeight="true" outlineLevel="0" collapsed="false">
      <c r="A60" s="6" t="s">
        <v>146</v>
      </c>
      <c r="B60" s="24" t="n">
        <v>4</v>
      </c>
      <c r="C60" s="28" t="s">
        <v>143</v>
      </c>
    </row>
    <row r="61" customFormat="false" ht="15" hidden="false" customHeight="true" outlineLevel="0" collapsed="false">
      <c r="A61" s="6" t="s">
        <v>147</v>
      </c>
      <c r="B61" s="24" t="n">
        <v>4</v>
      </c>
      <c r="C61" s="28" t="s">
        <v>143</v>
      </c>
    </row>
    <row r="62" customFormat="false" ht="15" hidden="false" customHeight="true" outlineLevel="0" collapsed="false">
      <c r="A62" s="6" t="s">
        <v>148</v>
      </c>
      <c r="B62" s="24" t="n">
        <v>5</v>
      </c>
      <c r="C62" s="28" t="s">
        <v>143</v>
      </c>
    </row>
    <row r="63" customFormat="false" ht="15" hidden="false" customHeight="true" outlineLevel="0" collapsed="false">
      <c r="A63" s="6" t="s">
        <v>149</v>
      </c>
      <c r="B63" s="24" t="n">
        <v>5</v>
      </c>
      <c r="C63" s="28" t="s">
        <v>143</v>
      </c>
    </row>
    <row r="64" customFormat="false" ht="15" hidden="false" customHeight="true" outlineLevel="0" collapsed="false">
      <c r="A64" s="6" t="s">
        <v>150</v>
      </c>
      <c r="B64" s="24" t="n">
        <v>6</v>
      </c>
      <c r="C64" s="28" t="s">
        <v>143</v>
      </c>
    </row>
    <row r="65" customFormat="false" ht="15" hidden="false" customHeight="true" outlineLevel="0" collapsed="false">
      <c r="A65" s="6" t="s">
        <v>151</v>
      </c>
      <c r="B65" s="24" t="n">
        <v>6</v>
      </c>
      <c r="C65" s="28" t="s">
        <v>143</v>
      </c>
    </row>
    <row r="66" customFormat="false" ht="15" hidden="false" customHeight="true" outlineLevel="0" collapsed="false">
      <c r="A66" s="6" t="s">
        <v>152</v>
      </c>
      <c r="B66" s="24" t="n">
        <v>7</v>
      </c>
      <c r="C66" s="28" t="s">
        <v>143</v>
      </c>
    </row>
    <row r="67" customFormat="false" ht="15" hidden="false" customHeight="true" outlineLevel="0" collapsed="false">
      <c r="A67" s="6" t="s">
        <v>153</v>
      </c>
      <c r="B67" s="24" t="n">
        <v>7</v>
      </c>
      <c r="C67" s="28" t="s">
        <v>143</v>
      </c>
    </row>
    <row r="68" customFormat="false" ht="15" hidden="false" customHeight="true" outlineLevel="0" collapsed="false">
      <c r="A68" s="10" t="s">
        <v>154</v>
      </c>
      <c r="B68" s="29" t="n">
        <f aca="false">SUM(B56:B67)</f>
        <v>50</v>
      </c>
      <c r="C68" s="3"/>
    </row>
    <row r="69" customFormat="false" ht="15" hidden="false" customHeight="true" outlineLevel="0" collapsed="false">
      <c r="A69" s="6" t="s">
        <v>155</v>
      </c>
      <c r="B69" s="25" t="n">
        <v>0</v>
      </c>
      <c r="C69" s="17" t="s">
        <v>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44"/>
    <col collapsed="false" customWidth="true" hidden="false" outlineLevel="0" max="14" min="2" style="1" width="14"/>
  </cols>
  <sheetData>
    <row r="1" customFormat="false" ht="16.5" hidden="false" customHeight="true" outlineLevel="0" collapsed="false">
      <c r="A1" s="18" t="s">
        <v>157</v>
      </c>
      <c r="B1" s="3"/>
      <c r="C1" s="3"/>
      <c r="D1" s="3"/>
      <c r="E1" s="3"/>
      <c r="F1" s="3"/>
      <c r="G1" s="3"/>
      <c r="H1" s="3"/>
      <c r="I1" s="3"/>
      <c r="J1" s="3"/>
      <c r="K1" s="3"/>
      <c r="L1" s="3"/>
      <c r="M1" s="3"/>
      <c r="N1" s="3"/>
    </row>
    <row r="2" customFormat="false" ht="15" hidden="false" customHeight="true" outlineLevel="0" collapsed="false">
      <c r="A2" s="4" t="s">
        <v>158</v>
      </c>
      <c r="B2" s="3"/>
      <c r="C2" s="3"/>
      <c r="D2" s="3"/>
      <c r="E2" s="3"/>
      <c r="F2" s="3"/>
      <c r="G2" s="3"/>
      <c r="H2" s="3"/>
      <c r="I2" s="3"/>
      <c r="J2" s="3"/>
      <c r="K2" s="3"/>
      <c r="L2" s="3"/>
      <c r="M2" s="3"/>
      <c r="N2" s="3"/>
    </row>
    <row r="3" customFormat="false" ht="15" hidden="false" customHeight="true" outlineLevel="0" collapsed="false">
      <c r="A3" s="3"/>
      <c r="B3" s="3"/>
      <c r="C3" s="3"/>
      <c r="D3" s="3"/>
      <c r="E3" s="3"/>
      <c r="F3" s="3"/>
      <c r="G3" s="3"/>
      <c r="H3" s="3"/>
      <c r="I3" s="3"/>
      <c r="J3" s="3"/>
      <c r="K3" s="3"/>
      <c r="L3" s="3"/>
      <c r="M3" s="3"/>
      <c r="N3" s="3"/>
    </row>
    <row r="4" customFormat="false" ht="15" hidden="false" customHeight="true" outlineLevel="0" collapsed="false">
      <c r="A4" s="5" t="s">
        <v>49</v>
      </c>
      <c r="B4" s="5" t="s">
        <v>159</v>
      </c>
      <c r="C4" s="5" t="s">
        <v>160</v>
      </c>
      <c r="D4" s="5" t="s">
        <v>161</v>
      </c>
      <c r="E4" s="5" t="s">
        <v>162</v>
      </c>
      <c r="F4" s="5" t="s">
        <v>163</v>
      </c>
      <c r="G4" s="5" t="s">
        <v>164</v>
      </c>
      <c r="H4" s="5" t="s">
        <v>165</v>
      </c>
      <c r="I4" s="5" t="s">
        <v>166</v>
      </c>
      <c r="J4" s="5" t="s">
        <v>167</v>
      </c>
      <c r="K4" s="5" t="s">
        <v>168</v>
      </c>
      <c r="L4" s="5" t="s">
        <v>169</v>
      </c>
      <c r="M4" s="5" t="s">
        <v>170</v>
      </c>
      <c r="N4" s="5" t="s">
        <v>171</v>
      </c>
    </row>
    <row r="5" customFormat="false" ht="15" hidden="false" customHeight="true" outlineLevel="0" collapsed="false">
      <c r="A5" s="6" t="s">
        <v>172</v>
      </c>
      <c r="B5" s="30" t="n">
        <v>1</v>
      </c>
      <c r="C5" s="30" t="n">
        <v>2</v>
      </c>
      <c r="D5" s="30" t="n">
        <v>3</v>
      </c>
      <c r="E5" s="30" t="n">
        <v>4</v>
      </c>
      <c r="F5" s="30" t="n">
        <v>5</v>
      </c>
      <c r="G5" s="30" t="n">
        <v>6</v>
      </c>
      <c r="H5" s="30" t="n">
        <v>7</v>
      </c>
      <c r="I5" s="30" t="n">
        <v>8</v>
      </c>
      <c r="J5" s="30" t="n">
        <v>9</v>
      </c>
      <c r="K5" s="30" t="n">
        <v>10</v>
      </c>
      <c r="L5" s="30" t="n">
        <v>11</v>
      </c>
      <c r="M5" s="30" t="n">
        <v>12</v>
      </c>
      <c r="N5" s="3"/>
    </row>
    <row r="6" customFormat="false" ht="15" hidden="false" customHeight="true" outlineLevel="0" collapsed="false">
      <c r="A6" s="10" t="s">
        <v>173</v>
      </c>
      <c r="B6" s="12" t="n">
        <f aca="false">الافتراضات!$B$56</f>
        <v>0</v>
      </c>
      <c r="C6" s="12" t="n">
        <f aca="false">الافتراضات!$B$57</f>
        <v>1</v>
      </c>
      <c r="D6" s="12" t="n">
        <f aca="false">الافتراضات!$B$58</f>
        <v>2</v>
      </c>
      <c r="E6" s="12" t="n">
        <f aca="false">الافتراضات!$B$59</f>
        <v>3</v>
      </c>
      <c r="F6" s="12" t="n">
        <f aca="false">الافتراضات!$B$60</f>
        <v>4</v>
      </c>
      <c r="G6" s="12" t="n">
        <f aca="false">الافتراضات!$B$61</f>
        <v>4</v>
      </c>
      <c r="H6" s="12" t="n">
        <f aca="false">الافتراضات!$B$62</f>
        <v>5</v>
      </c>
      <c r="I6" s="12" t="n">
        <f aca="false">الافتراضات!$B$63</f>
        <v>5</v>
      </c>
      <c r="J6" s="12" t="n">
        <f aca="false">الافتراضات!$B$64</f>
        <v>6</v>
      </c>
      <c r="K6" s="12" t="n">
        <f aca="false">الافتراضات!$B$65</f>
        <v>6</v>
      </c>
      <c r="L6" s="12" t="n">
        <f aca="false">الافتراضات!$B$66</f>
        <v>7</v>
      </c>
      <c r="M6" s="12" t="n">
        <f aca="false">الافتراضات!$B$67</f>
        <v>7</v>
      </c>
      <c r="N6" s="31" t="n">
        <f aca="false">SUM(B6:M6)</f>
        <v>50</v>
      </c>
    </row>
    <row r="7" customFormat="false" ht="15" hidden="false" customHeight="true" outlineLevel="0" collapsed="false">
      <c r="A7" s="6" t="s">
        <v>174</v>
      </c>
      <c r="B7" s="30" t="n">
        <f aca="false">ROUND(0*الافتراضات!$B$69,0)</f>
        <v>0</v>
      </c>
      <c r="C7" s="30" t="n">
        <f aca="false">ROUND(B8*الافتراضات!$B$69,0)</f>
        <v>0</v>
      </c>
      <c r="D7" s="30" t="n">
        <f aca="false">ROUND(C8*الافتراضات!$B$69,0)</f>
        <v>0</v>
      </c>
      <c r="E7" s="30" t="n">
        <f aca="false">ROUND(D8*الافتراضات!$B$69,0)</f>
        <v>0</v>
      </c>
      <c r="F7" s="30" t="n">
        <f aca="false">ROUND(E8*الافتراضات!$B$69,0)</f>
        <v>0</v>
      </c>
      <c r="G7" s="30" t="n">
        <f aca="false">ROUND(F8*الافتراضات!$B$69,0)</f>
        <v>0</v>
      </c>
      <c r="H7" s="30" t="n">
        <f aca="false">ROUND(G8*الافتراضات!$B$69,0)</f>
        <v>0</v>
      </c>
      <c r="I7" s="30" t="n">
        <f aca="false">ROUND(H8*الافتراضات!$B$69,0)</f>
        <v>0</v>
      </c>
      <c r="J7" s="30" t="n">
        <f aca="false">ROUND(I8*الافتراضات!$B$69,0)</f>
        <v>0</v>
      </c>
      <c r="K7" s="30" t="n">
        <f aca="false">ROUND(J8*الافتراضات!$B$69,0)</f>
        <v>0</v>
      </c>
      <c r="L7" s="30" t="n">
        <f aca="false">ROUND(K8*الافتراضات!$B$69,0)</f>
        <v>0</v>
      </c>
      <c r="M7" s="30" t="n">
        <f aca="false">ROUND(L8*الافتراضات!$B$69,0)</f>
        <v>0</v>
      </c>
      <c r="N7" s="31" t="n">
        <f aca="false">SUM(B7:M7)</f>
        <v>0</v>
      </c>
    </row>
    <row r="8" customFormat="false" ht="15" hidden="false" customHeight="true" outlineLevel="0" collapsed="false">
      <c r="A8" s="32" t="s">
        <v>175</v>
      </c>
      <c r="B8" s="31" t="n">
        <f aca="false">0+B6-B7</f>
        <v>0</v>
      </c>
      <c r="C8" s="31" t="n">
        <f aca="false">B8+C6-C7</f>
        <v>1</v>
      </c>
      <c r="D8" s="31" t="n">
        <f aca="false">C8+D6-D7</f>
        <v>3</v>
      </c>
      <c r="E8" s="31" t="n">
        <f aca="false">D8+E6-E7</f>
        <v>6</v>
      </c>
      <c r="F8" s="31" t="n">
        <f aca="false">E8+F6-F7</f>
        <v>10</v>
      </c>
      <c r="G8" s="31" t="n">
        <f aca="false">F8+G6-G7</f>
        <v>14</v>
      </c>
      <c r="H8" s="31" t="n">
        <f aca="false">G8+H6-H7</f>
        <v>19</v>
      </c>
      <c r="I8" s="31" t="n">
        <f aca="false">H8+I6-I7</f>
        <v>24</v>
      </c>
      <c r="J8" s="31" t="n">
        <f aca="false">I8+J6-J7</f>
        <v>30</v>
      </c>
      <c r="K8" s="31" t="n">
        <f aca="false">J8+K6-K7</f>
        <v>36</v>
      </c>
      <c r="L8" s="31" t="n">
        <f aca="false">K8+L6-L7</f>
        <v>43</v>
      </c>
      <c r="M8" s="31" t="n">
        <f aca="false">L8+M6-M7</f>
        <v>50</v>
      </c>
      <c r="N8" s="31" t="n">
        <f aca="false">M8</f>
        <v>50</v>
      </c>
    </row>
    <row r="9" customFormat="false" ht="15" hidden="false" customHeight="true" outlineLevel="0" collapsed="false">
      <c r="A9" s="3"/>
      <c r="B9" s="3"/>
      <c r="C9" s="3"/>
      <c r="D9" s="3"/>
      <c r="E9" s="3"/>
      <c r="F9" s="3"/>
      <c r="G9" s="3"/>
      <c r="H9" s="3"/>
      <c r="I9" s="3"/>
      <c r="J9" s="3"/>
      <c r="K9" s="3"/>
      <c r="L9" s="3"/>
      <c r="M9" s="3"/>
      <c r="N9" s="3"/>
    </row>
    <row r="10" customFormat="false" ht="15" hidden="false" customHeight="true" outlineLevel="0" collapsed="false">
      <c r="A10" s="33" t="s">
        <v>176</v>
      </c>
      <c r="B10" s="3"/>
      <c r="C10" s="3"/>
      <c r="D10" s="3"/>
      <c r="E10" s="3"/>
      <c r="F10" s="3"/>
      <c r="G10" s="3"/>
      <c r="H10" s="3"/>
      <c r="I10" s="3"/>
      <c r="J10" s="3"/>
      <c r="K10" s="3"/>
      <c r="L10" s="3"/>
      <c r="M10" s="3"/>
      <c r="N10" s="3"/>
    </row>
    <row r="11" customFormat="false" ht="15" hidden="false" customHeight="true" outlineLevel="0" collapsed="false">
      <c r="A11" s="10" t="s">
        <v>177</v>
      </c>
      <c r="B11" s="27" t="n">
        <f aca="false">B6*الافتراضات!$B$39</f>
        <v>0</v>
      </c>
      <c r="C11" s="27" t="n">
        <f aca="false">C6*الافتراضات!$B$39</f>
        <v>6313.125</v>
      </c>
      <c r="D11" s="27" t="n">
        <f aca="false">D6*الافتراضات!$B$39</f>
        <v>12626.25</v>
      </c>
      <c r="E11" s="27" t="n">
        <f aca="false">E6*الافتراضات!$B$39</f>
        <v>18939.375</v>
      </c>
      <c r="F11" s="27" t="n">
        <f aca="false">F6*الافتراضات!$B$39</f>
        <v>25252.5</v>
      </c>
      <c r="G11" s="27" t="n">
        <f aca="false">G6*الافتراضات!$B$39</f>
        <v>25252.5</v>
      </c>
      <c r="H11" s="27" t="n">
        <f aca="false">H6*الافتراضات!$B$39</f>
        <v>31565.625</v>
      </c>
      <c r="I11" s="27" t="n">
        <f aca="false">I6*الافتراضات!$B$39</f>
        <v>31565.625</v>
      </c>
      <c r="J11" s="27" t="n">
        <f aca="false">J6*الافتراضات!$B$39</f>
        <v>37878.75</v>
      </c>
      <c r="K11" s="27" t="n">
        <f aca="false">K6*الافتراضات!$B$39</f>
        <v>37878.75</v>
      </c>
      <c r="L11" s="27" t="n">
        <f aca="false">L6*الافتراضات!$B$39</f>
        <v>44191.875</v>
      </c>
      <c r="M11" s="27" t="n">
        <f aca="false">M6*الافتراضات!$B$39</f>
        <v>44191.875</v>
      </c>
      <c r="N11" s="34" t="n">
        <f aca="false">SUM(B11:M11)</f>
        <v>315656.25</v>
      </c>
    </row>
    <row r="12" customFormat="false" ht="15" hidden="false" customHeight="true" outlineLevel="0" collapsed="false">
      <c r="A12" s="6" t="s">
        <v>178</v>
      </c>
      <c r="B12" s="27" t="n">
        <f aca="false">B8*الافتراضات!$B$39/12</f>
        <v>0</v>
      </c>
      <c r="C12" s="27" t="n">
        <f aca="false">C8*الافتراضات!$B$39/12</f>
        <v>526.09375</v>
      </c>
      <c r="D12" s="27" t="n">
        <f aca="false">D8*الافتراضات!$B$39/12</f>
        <v>1578.28125</v>
      </c>
      <c r="E12" s="27" t="n">
        <f aca="false">E8*الافتراضات!$B$39/12</f>
        <v>3156.5625</v>
      </c>
      <c r="F12" s="27" t="n">
        <f aca="false">F8*الافتراضات!$B$39/12</f>
        <v>5260.9375</v>
      </c>
      <c r="G12" s="27" t="n">
        <f aca="false">G8*الافتراضات!$B$39/12</f>
        <v>7365.3125</v>
      </c>
      <c r="H12" s="27" t="n">
        <f aca="false">H8*الافتراضات!$B$39/12</f>
        <v>9995.78125</v>
      </c>
      <c r="I12" s="27" t="n">
        <f aca="false">I8*الافتراضات!$B$39/12</f>
        <v>12626.25</v>
      </c>
      <c r="J12" s="27" t="n">
        <f aca="false">J8*الافتراضات!$B$39/12</f>
        <v>15782.8125</v>
      </c>
      <c r="K12" s="27" t="n">
        <f aca="false">K8*الافتراضات!$B$39/12</f>
        <v>18939.375</v>
      </c>
      <c r="L12" s="27" t="n">
        <f aca="false">L8*الافتراضات!$B$39/12</f>
        <v>22622.03125</v>
      </c>
      <c r="M12" s="27" t="n">
        <f aca="false">M8*الافتراضات!$B$39/12</f>
        <v>26304.6875</v>
      </c>
      <c r="N12" s="34" t="n">
        <f aca="false">SUM(B12:M12)</f>
        <v>124158.125</v>
      </c>
    </row>
    <row r="13" customFormat="false" ht="15" hidden="false" customHeight="true" outlineLevel="0" collapsed="false">
      <c r="A13" s="3"/>
      <c r="B13" s="3"/>
      <c r="C13" s="3"/>
      <c r="D13" s="3"/>
      <c r="E13" s="3"/>
      <c r="F13" s="3"/>
      <c r="G13" s="3"/>
      <c r="H13" s="3"/>
      <c r="I13" s="3"/>
      <c r="J13" s="3"/>
      <c r="K13" s="3"/>
      <c r="L13" s="3"/>
      <c r="M13" s="3"/>
      <c r="N13" s="3"/>
    </row>
    <row r="14" customFormat="false" ht="15" hidden="false" customHeight="true" outlineLevel="0" collapsed="false">
      <c r="A14" s="33" t="s">
        <v>179</v>
      </c>
      <c r="B14" s="3"/>
      <c r="C14" s="3"/>
      <c r="D14" s="3"/>
      <c r="E14" s="3"/>
      <c r="F14" s="3"/>
      <c r="G14" s="3"/>
      <c r="H14" s="3"/>
      <c r="I14" s="3"/>
      <c r="J14" s="3"/>
      <c r="K14" s="3"/>
      <c r="L14" s="3"/>
      <c r="M14" s="3"/>
      <c r="N14" s="3"/>
    </row>
    <row r="15" customFormat="false" ht="15" hidden="false" customHeight="true" outlineLevel="0" collapsed="false">
      <c r="A15" s="6" t="s">
        <v>180</v>
      </c>
      <c r="B15" s="27" t="n">
        <f aca="false">IF(B5&gt;=الافتراضات!$B$8,الافتراضات!$B$7,0)</f>
        <v>0</v>
      </c>
      <c r="C15" s="27" t="n">
        <f aca="false">IF(C5&gt;=الافتراضات!$B$8,الافتراضات!$B$7,0)</f>
        <v>0</v>
      </c>
      <c r="D15" s="27" t="n">
        <f aca="false">IF(D5&gt;=الافتراضات!$B$8,الافتراضات!$B$7,0)</f>
        <v>0</v>
      </c>
      <c r="E15" s="27" t="n">
        <f aca="false">IF(E5&gt;=الافتراضات!$B$8,الافتراضات!$B$7,0)</f>
        <v>0</v>
      </c>
      <c r="F15" s="27" t="n">
        <f aca="false">IF(F5&gt;=الافتراضات!$B$8,الافتراضات!$B$7,0)</f>
        <v>0</v>
      </c>
      <c r="G15" s="27" t="n">
        <f aca="false">IF(G5&gt;=الافتراضات!$B$8,الافتراضات!$B$7,0)</f>
        <v>0</v>
      </c>
      <c r="H15" s="27" t="n">
        <f aca="false">IF(H5&gt;=الافتراضات!$B$8,الافتراضات!$B$7,0)</f>
        <v>4000</v>
      </c>
      <c r="I15" s="27" t="n">
        <f aca="false">IF(I5&gt;=الافتراضات!$B$8,الافتراضات!$B$7,0)</f>
        <v>4000</v>
      </c>
      <c r="J15" s="27" t="n">
        <f aca="false">IF(J5&gt;=الافتراضات!$B$8,الافتراضات!$B$7,0)</f>
        <v>4000</v>
      </c>
      <c r="K15" s="27" t="n">
        <f aca="false">IF(K5&gt;=الافتراضات!$B$8,الافتراضات!$B$7,0)</f>
        <v>4000</v>
      </c>
      <c r="L15" s="27" t="n">
        <f aca="false">IF(L5&gt;=الافتراضات!$B$8,الافتراضات!$B$7,0)</f>
        <v>4000</v>
      </c>
      <c r="M15" s="27" t="n">
        <f aca="false">IF(M5&gt;=الافتراضات!$B$8,الافتراضات!$B$7,0)</f>
        <v>4000</v>
      </c>
      <c r="N15" s="34" t="n">
        <f aca="false">SUM(B15:M15)</f>
        <v>24000</v>
      </c>
    </row>
    <row r="16" customFormat="false" ht="15" hidden="false" customHeight="true" outlineLevel="0" collapsed="false">
      <c r="A16" s="6" t="s">
        <v>59</v>
      </c>
      <c r="B16" s="27" t="n">
        <f aca="false">IF(B5&gt;=الافتراضات!$B$10,الافتراضات!$B$9,0)</f>
        <v>0</v>
      </c>
      <c r="C16" s="27" t="n">
        <f aca="false">IF(C5&gt;=الافتراضات!$B$10,الافتراضات!$B$9,0)</f>
        <v>0</v>
      </c>
      <c r="D16" s="27" t="n">
        <f aca="false">IF(D5&gt;=الافتراضات!$B$10,الافتراضات!$B$9,0)</f>
        <v>0</v>
      </c>
      <c r="E16" s="27" t="n">
        <f aca="false">IF(E5&gt;=الافتراضات!$B$10,الافتراضات!$B$9,0)</f>
        <v>0</v>
      </c>
      <c r="F16" s="27" t="n">
        <f aca="false">IF(F5&gt;=الافتراضات!$B$10,الافتراضات!$B$9,0)</f>
        <v>0</v>
      </c>
      <c r="G16" s="27" t="n">
        <f aca="false">IF(G5&gt;=الافتراضات!$B$10,الافتراضات!$B$9,0)</f>
        <v>0</v>
      </c>
      <c r="H16" s="27" t="n">
        <f aca="false">IF(H5&gt;=الافتراضات!$B$10,الافتراضات!$B$9,0)</f>
        <v>6000</v>
      </c>
      <c r="I16" s="27" t="n">
        <f aca="false">IF(I5&gt;=الافتراضات!$B$10,الافتراضات!$B$9,0)</f>
        <v>6000</v>
      </c>
      <c r="J16" s="27" t="n">
        <f aca="false">IF(J5&gt;=الافتراضات!$B$10,الافتراضات!$B$9,0)</f>
        <v>6000</v>
      </c>
      <c r="K16" s="27" t="n">
        <f aca="false">IF(K5&gt;=الافتراضات!$B$10,الافتراضات!$B$9,0)</f>
        <v>6000</v>
      </c>
      <c r="L16" s="27" t="n">
        <f aca="false">IF(L5&gt;=الافتراضات!$B$10,الافتراضات!$B$9,0)</f>
        <v>6000</v>
      </c>
      <c r="M16" s="27" t="n">
        <f aca="false">IF(M5&gt;=الافتراضات!$B$10,الافتراضات!$B$9,0)</f>
        <v>6000</v>
      </c>
      <c r="N16" s="34" t="n">
        <f aca="false">SUM(B16:M16)</f>
        <v>36000</v>
      </c>
    </row>
    <row r="17" customFormat="false" ht="15" hidden="false" customHeight="true" outlineLevel="0" collapsed="false">
      <c r="A17" s="6" t="s">
        <v>181</v>
      </c>
      <c r="B17" s="27" t="n">
        <f aca="false">(B15+B16)*الافتراضات!$B$11</f>
        <v>0</v>
      </c>
      <c r="C17" s="27" t="n">
        <f aca="false">(C15+C16)*الافتراضات!$B$11</f>
        <v>0</v>
      </c>
      <c r="D17" s="27" t="n">
        <f aca="false">(D15+D16)*الافتراضات!$B$11</f>
        <v>0</v>
      </c>
      <c r="E17" s="27" t="n">
        <f aca="false">(E15+E16)*الافتراضات!$B$11</f>
        <v>0</v>
      </c>
      <c r="F17" s="27" t="n">
        <f aca="false">(F15+F16)*الافتراضات!$B$11</f>
        <v>0</v>
      </c>
      <c r="G17" s="27" t="n">
        <f aca="false">(G15+G16)*الافتراضات!$B$11</f>
        <v>0</v>
      </c>
      <c r="H17" s="27" t="n">
        <f aca="false">(H15+H16)*الافتراضات!$B$11</f>
        <v>0</v>
      </c>
      <c r="I17" s="27" t="n">
        <f aca="false">(I15+I16)*الافتراضات!$B$11</f>
        <v>0</v>
      </c>
      <c r="J17" s="27" t="n">
        <f aca="false">(J15+J16)*الافتراضات!$B$11</f>
        <v>0</v>
      </c>
      <c r="K17" s="27" t="n">
        <f aca="false">(K15+K16)*الافتراضات!$B$11</f>
        <v>0</v>
      </c>
      <c r="L17" s="27" t="n">
        <f aca="false">(L15+L16)*الافتراضات!$B$11</f>
        <v>0</v>
      </c>
      <c r="M17" s="27" t="n">
        <f aca="false">(M15+M16)*الافتراضات!$B$11</f>
        <v>0</v>
      </c>
      <c r="N17" s="34" t="n">
        <f aca="false">SUM(B17:M17)</f>
        <v>0</v>
      </c>
    </row>
    <row r="18" customFormat="false" ht="15" hidden="false" customHeight="true" outlineLevel="0" collapsed="false">
      <c r="A18" s="6" t="s">
        <v>64</v>
      </c>
      <c r="B18" s="27" t="n">
        <f aca="false">الافتراضات!$B$12</f>
        <v>2000</v>
      </c>
      <c r="C18" s="27" t="n">
        <f aca="false">الافتراضات!$B$12</f>
        <v>2000</v>
      </c>
      <c r="D18" s="27" t="n">
        <f aca="false">الافتراضات!$B$12</f>
        <v>2000</v>
      </c>
      <c r="E18" s="27" t="n">
        <f aca="false">الافتراضات!$B$12</f>
        <v>2000</v>
      </c>
      <c r="F18" s="27" t="n">
        <f aca="false">الافتراضات!$B$12</f>
        <v>2000</v>
      </c>
      <c r="G18" s="27" t="n">
        <f aca="false">الافتراضات!$B$12</f>
        <v>2000</v>
      </c>
      <c r="H18" s="27" t="n">
        <f aca="false">الافتراضات!$B$12</f>
        <v>2000</v>
      </c>
      <c r="I18" s="27" t="n">
        <f aca="false">الافتراضات!$B$12</f>
        <v>2000</v>
      </c>
      <c r="J18" s="27" t="n">
        <f aca="false">الافتراضات!$B$12</f>
        <v>2000</v>
      </c>
      <c r="K18" s="27" t="n">
        <f aca="false">الافتراضات!$B$12</f>
        <v>2000</v>
      </c>
      <c r="L18" s="27" t="n">
        <f aca="false">الافتراضات!$B$12</f>
        <v>2000</v>
      </c>
      <c r="M18" s="27" t="n">
        <f aca="false">الافتراضات!$B$12</f>
        <v>2000</v>
      </c>
      <c r="N18" s="34" t="n">
        <f aca="false">SUM(B18:M18)</f>
        <v>24000</v>
      </c>
    </row>
    <row r="19" customFormat="false" ht="15" hidden="false" customHeight="true" outlineLevel="0" collapsed="false">
      <c r="A19" s="6" t="s">
        <v>182</v>
      </c>
      <c r="B19" s="27" t="n">
        <f aca="false">الافتراضات!$B$13</f>
        <v>1000</v>
      </c>
      <c r="C19" s="27" t="n">
        <f aca="false">B19*(1+الافتراضات!$B$14)</f>
        <v>1100</v>
      </c>
      <c r="D19" s="27" t="n">
        <f aca="false">C19*(1+الافتراضات!$B$14)</f>
        <v>1210</v>
      </c>
      <c r="E19" s="27" t="n">
        <f aca="false">D19*(1+الافتراضات!$B$14)</f>
        <v>1331</v>
      </c>
      <c r="F19" s="27" t="n">
        <f aca="false">E19*(1+الافتراضات!$B$14)</f>
        <v>1464.1</v>
      </c>
      <c r="G19" s="27" t="n">
        <f aca="false">F19*(1+الافتراضات!$B$14)</f>
        <v>1610.51</v>
      </c>
      <c r="H19" s="27" t="n">
        <f aca="false">G19*(1+الافتراضات!$B$14)</f>
        <v>1771.561</v>
      </c>
      <c r="I19" s="27" t="n">
        <f aca="false">H19*(1+الافتراضات!$B$14)</f>
        <v>1948.7171</v>
      </c>
      <c r="J19" s="27" t="n">
        <f aca="false">I19*(1+الافتراضات!$B$14)</f>
        <v>2143.58881</v>
      </c>
      <c r="K19" s="27" t="n">
        <f aca="false">J19*(1+الافتراضات!$B$14)</f>
        <v>2357.947691</v>
      </c>
      <c r="L19" s="27" t="n">
        <f aca="false">K19*(1+الافتراضات!$B$14)</f>
        <v>2593.7424601</v>
      </c>
      <c r="M19" s="27" t="n">
        <f aca="false">L19*(1+الافتراضات!$B$14)</f>
        <v>2853.11670611</v>
      </c>
      <c r="N19" s="34" t="n">
        <f aca="false">SUM(B19:M19)</f>
        <v>21384.28376721</v>
      </c>
    </row>
    <row r="20" customFormat="false" ht="15" hidden="false" customHeight="true" outlineLevel="0" collapsed="false">
      <c r="A20" s="6" t="s">
        <v>183</v>
      </c>
      <c r="B20" s="27" t="n">
        <f aca="false">IF(B8&gt;=الافتراضات!$B$17,الافتراضات!$B$16,الافتراضات!$B$15)</f>
        <v>300</v>
      </c>
      <c r="C20" s="27" t="n">
        <f aca="false">IF(C8&gt;=الافتراضات!$B$17,الافتراضات!$B$16,الافتراضات!$B$15)</f>
        <v>300</v>
      </c>
      <c r="D20" s="27" t="n">
        <f aca="false">IF(D8&gt;=الافتراضات!$B$17,الافتراضات!$B$16,الافتراضات!$B$15)</f>
        <v>300</v>
      </c>
      <c r="E20" s="27" t="n">
        <f aca="false">IF(E8&gt;=الافتراضات!$B$17,الافتراضات!$B$16,الافتراضات!$B$15)</f>
        <v>300</v>
      </c>
      <c r="F20" s="27" t="n">
        <f aca="false">IF(F8&gt;=الافتراضات!$B$17,الافتراضات!$B$16,الافتراضات!$B$15)</f>
        <v>300</v>
      </c>
      <c r="G20" s="27" t="n">
        <f aca="false">IF(G8&gt;=الافتراضات!$B$17,الافتراضات!$B$16,الافتراضات!$B$15)</f>
        <v>300</v>
      </c>
      <c r="H20" s="27" t="n">
        <f aca="false">IF(H8&gt;=الافتراضات!$B$17,الافتراضات!$B$16,الافتراضات!$B$15)</f>
        <v>300</v>
      </c>
      <c r="I20" s="27" t="n">
        <f aca="false">IF(I8&gt;=الافتراضات!$B$17,الافتراضات!$B$16,الافتراضات!$B$15)</f>
        <v>300</v>
      </c>
      <c r="J20" s="27" t="n">
        <f aca="false">IF(J8&gt;=الافتراضات!$B$17,الافتراضات!$B$16,الافتراضات!$B$15)</f>
        <v>600</v>
      </c>
      <c r="K20" s="27" t="n">
        <f aca="false">IF(K8&gt;=الافتراضات!$B$17,الافتراضات!$B$16,الافتراضات!$B$15)</f>
        <v>600</v>
      </c>
      <c r="L20" s="27" t="n">
        <f aca="false">IF(L8&gt;=الافتراضات!$B$17,الافتراضات!$B$16,الافتراضات!$B$15)</f>
        <v>600</v>
      </c>
      <c r="M20" s="27" t="n">
        <f aca="false">IF(M8&gt;=الافتراضات!$B$17,الافتراضات!$B$16,الافتراضات!$B$15)</f>
        <v>600</v>
      </c>
      <c r="N20" s="34" t="n">
        <f aca="false">SUM(B20:M20)</f>
        <v>4800</v>
      </c>
    </row>
    <row r="21" customFormat="false" ht="15" hidden="false" customHeight="true" outlineLevel="0" collapsed="false">
      <c r="A21" s="6" t="s">
        <v>184</v>
      </c>
      <c r="B21" s="27" t="n">
        <f aca="false">IF(B5&gt;=الافتراضات!$B$48,الافتراضات!$B$47,0)</f>
        <v>0</v>
      </c>
      <c r="C21" s="27" t="n">
        <f aca="false">IF(C5&gt;=الافتراضات!$B$48,الافتراضات!$B$47,0)</f>
        <v>0</v>
      </c>
      <c r="D21" s="27" t="n">
        <f aca="false">IF(D5&gt;=الافتراضات!$B$48,الافتراضات!$B$47,0)</f>
        <v>0</v>
      </c>
      <c r="E21" s="27" t="n">
        <f aca="false">IF(E5&gt;=الافتراضات!$B$48,الافتراضات!$B$47,0)</f>
        <v>0</v>
      </c>
      <c r="F21" s="27" t="n">
        <f aca="false">IF(F5&gt;=الافتراضات!$B$48,الافتراضات!$B$47,0)</f>
        <v>0</v>
      </c>
      <c r="G21" s="27" t="n">
        <f aca="false">IF(G5&gt;=الافتراضات!$B$48,الافتراضات!$B$47,0)</f>
        <v>0</v>
      </c>
      <c r="H21" s="27" t="n">
        <f aca="false">IF(H5&gt;=الافتراضات!$B$48,الافتراضات!$B$47,0)</f>
        <v>0</v>
      </c>
      <c r="I21" s="27" t="n">
        <f aca="false">IF(I5&gt;=الافتراضات!$B$48,الافتراضات!$B$47,0)</f>
        <v>0</v>
      </c>
      <c r="J21" s="27" t="n">
        <f aca="false">IF(J5&gt;=الافتراضات!$B$48,الافتراضات!$B$47,0)</f>
        <v>0</v>
      </c>
      <c r="K21" s="27" t="n">
        <f aca="false">IF(K5&gt;=الافتراضات!$B$48,الافتراضات!$B$47,0)</f>
        <v>0</v>
      </c>
      <c r="L21" s="27" t="n">
        <f aca="false">IF(L5&gt;=الافتراضات!$B$48,الافتراضات!$B$47,0)</f>
        <v>0</v>
      </c>
      <c r="M21" s="27" t="n">
        <f aca="false">IF(M5&gt;=الافتراضات!$B$48,الافتراضات!$B$47,0)</f>
        <v>0</v>
      </c>
      <c r="N21" s="34" t="n">
        <f aca="false">SUM(B21:M21)</f>
        <v>0</v>
      </c>
    </row>
    <row r="22" customFormat="false" ht="15" hidden="false" customHeight="true" outlineLevel="0" collapsed="false">
      <c r="A22" s="6" t="s">
        <v>185</v>
      </c>
      <c r="B22" s="27" t="n">
        <f aca="false">الافتراضات!$B$18</f>
        <v>300</v>
      </c>
      <c r="C22" s="27" t="n">
        <f aca="false">الافتراضات!$B$18</f>
        <v>300</v>
      </c>
      <c r="D22" s="27" t="n">
        <f aca="false">الافتراضات!$B$18</f>
        <v>300</v>
      </c>
      <c r="E22" s="27" t="n">
        <f aca="false">الافتراضات!$B$18</f>
        <v>300</v>
      </c>
      <c r="F22" s="27" t="n">
        <f aca="false">الافتراضات!$B$18</f>
        <v>300</v>
      </c>
      <c r="G22" s="27" t="n">
        <f aca="false">الافتراضات!$B$18</f>
        <v>300</v>
      </c>
      <c r="H22" s="27" t="n">
        <f aca="false">الافتراضات!$B$18</f>
        <v>300</v>
      </c>
      <c r="I22" s="27" t="n">
        <f aca="false">الافتراضات!$B$18</f>
        <v>300</v>
      </c>
      <c r="J22" s="27" t="n">
        <f aca="false">الافتراضات!$B$18</f>
        <v>300</v>
      </c>
      <c r="K22" s="27" t="n">
        <f aca="false">الافتراضات!$B$18</f>
        <v>300</v>
      </c>
      <c r="L22" s="27" t="n">
        <f aca="false">الافتراضات!$B$18</f>
        <v>300</v>
      </c>
      <c r="M22" s="27" t="n">
        <f aca="false">الافتراضات!$B$18</f>
        <v>300</v>
      </c>
      <c r="N22" s="34" t="n">
        <f aca="false">SUM(B22:M22)</f>
        <v>3600</v>
      </c>
    </row>
    <row r="23" customFormat="false" ht="15" hidden="false" customHeight="true" outlineLevel="0" collapsed="false">
      <c r="A23" s="6" t="s">
        <v>186</v>
      </c>
      <c r="B23" s="27" t="n">
        <f aca="false">الافتراضات!$B$19</f>
        <v>500</v>
      </c>
      <c r="C23" s="27" t="n">
        <f aca="false">الافتراضات!$B$19</f>
        <v>500</v>
      </c>
      <c r="D23" s="27" t="n">
        <f aca="false">الافتراضات!$B$19</f>
        <v>500</v>
      </c>
      <c r="E23" s="27" t="n">
        <f aca="false">الافتراضات!$B$19</f>
        <v>500</v>
      </c>
      <c r="F23" s="27" t="n">
        <f aca="false">الافتراضات!$B$19</f>
        <v>500</v>
      </c>
      <c r="G23" s="27" t="n">
        <f aca="false">الافتراضات!$B$19</f>
        <v>500</v>
      </c>
      <c r="H23" s="27" t="n">
        <f aca="false">الافتراضات!$B$19</f>
        <v>500</v>
      </c>
      <c r="I23" s="27" t="n">
        <f aca="false">الافتراضات!$B$19</f>
        <v>500</v>
      </c>
      <c r="J23" s="27" t="n">
        <f aca="false">الافتراضات!$B$19</f>
        <v>500</v>
      </c>
      <c r="K23" s="27" t="n">
        <f aca="false">الافتراضات!$B$19</f>
        <v>500</v>
      </c>
      <c r="L23" s="27" t="n">
        <f aca="false">الافتراضات!$B$19</f>
        <v>500</v>
      </c>
      <c r="M23" s="27" t="n">
        <f aca="false">الافتراضات!$B$19</f>
        <v>500</v>
      </c>
      <c r="N23" s="34" t="n">
        <f aca="false">SUM(B23:M23)</f>
        <v>6000</v>
      </c>
    </row>
    <row r="24" customFormat="false" ht="15" hidden="false" customHeight="true" outlineLevel="0" collapsed="false">
      <c r="A24" s="32" t="s">
        <v>187</v>
      </c>
      <c r="B24" s="34" t="n">
        <f aca="false">SUM(B15:B23)</f>
        <v>4100</v>
      </c>
      <c r="C24" s="34" t="n">
        <f aca="false">SUM(C15:C23)</f>
        <v>4200</v>
      </c>
      <c r="D24" s="34" t="n">
        <f aca="false">SUM(D15:D23)</f>
        <v>4310</v>
      </c>
      <c r="E24" s="34" t="n">
        <f aca="false">SUM(E15:E23)</f>
        <v>4431</v>
      </c>
      <c r="F24" s="34" t="n">
        <f aca="false">SUM(F15:F23)</f>
        <v>4564.1</v>
      </c>
      <c r="G24" s="34" t="n">
        <f aca="false">SUM(G15:G23)</f>
        <v>4710.51</v>
      </c>
      <c r="H24" s="34" t="n">
        <f aca="false">SUM(H15:H23)</f>
        <v>14871.561</v>
      </c>
      <c r="I24" s="34" t="n">
        <f aca="false">SUM(I15:I23)</f>
        <v>15048.7171</v>
      </c>
      <c r="J24" s="34" t="n">
        <f aca="false">SUM(J15:J23)</f>
        <v>15543.58881</v>
      </c>
      <c r="K24" s="34" t="n">
        <f aca="false">SUM(K15:K23)</f>
        <v>15757.947691</v>
      </c>
      <c r="L24" s="34" t="n">
        <f aca="false">SUM(L15:L23)</f>
        <v>15993.7424601</v>
      </c>
      <c r="M24" s="34" t="n">
        <f aca="false">SUM(M15:M23)</f>
        <v>16253.11670611</v>
      </c>
      <c r="N24" s="34" t="n">
        <f aca="false">SUM(B24:M24)</f>
        <v>119784.28376721</v>
      </c>
    </row>
    <row r="25" customFormat="false" ht="15" hidden="false" customHeight="true" outlineLevel="0" collapsed="false">
      <c r="A25" s="3"/>
      <c r="B25" s="3"/>
      <c r="C25" s="3"/>
      <c r="D25" s="3"/>
      <c r="E25" s="3"/>
      <c r="F25" s="3"/>
      <c r="G25" s="3"/>
      <c r="H25" s="3"/>
      <c r="I25" s="3"/>
      <c r="J25" s="3"/>
      <c r="K25" s="3"/>
      <c r="L25" s="3"/>
      <c r="M25" s="3"/>
      <c r="N25" s="3"/>
    </row>
    <row r="26" customFormat="false" ht="15" hidden="false" customHeight="true" outlineLevel="0" collapsed="false">
      <c r="A26" s="33" t="s">
        <v>188</v>
      </c>
      <c r="B26" s="3"/>
      <c r="C26" s="3"/>
      <c r="D26" s="3"/>
      <c r="E26" s="3"/>
      <c r="F26" s="3"/>
      <c r="G26" s="3"/>
      <c r="H26" s="3"/>
      <c r="I26" s="3"/>
      <c r="J26" s="3"/>
      <c r="K26" s="3"/>
      <c r="L26" s="3"/>
      <c r="M26" s="3"/>
      <c r="N26" s="3"/>
    </row>
    <row r="27" customFormat="false" ht="15" hidden="false" customHeight="true" outlineLevel="0" collapsed="false">
      <c r="A27" s="6" t="s">
        <v>189</v>
      </c>
      <c r="B27" s="27" t="n">
        <f aca="false">B8*الافتراضات!$B$44</f>
        <v>0</v>
      </c>
      <c r="C27" s="27" t="n">
        <f aca="false">C8*الافتراضات!$B$44</f>
        <v>50</v>
      </c>
      <c r="D27" s="27" t="n">
        <f aca="false">D8*الافتراضات!$B$44</f>
        <v>150</v>
      </c>
      <c r="E27" s="27" t="n">
        <f aca="false">E8*الافتراضات!$B$44</f>
        <v>300</v>
      </c>
      <c r="F27" s="27" t="n">
        <f aca="false">F8*الافتراضات!$B$44</f>
        <v>500</v>
      </c>
      <c r="G27" s="27" t="n">
        <f aca="false">G8*الافتراضات!$B$44</f>
        <v>700</v>
      </c>
      <c r="H27" s="27" t="n">
        <f aca="false">H8*الافتراضات!$B$44</f>
        <v>950</v>
      </c>
      <c r="I27" s="27" t="n">
        <f aca="false">I8*الافتراضات!$B$44</f>
        <v>1200</v>
      </c>
      <c r="J27" s="27" t="n">
        <f aca="false">J8*الافتراضات!$B$44</f>
        <v>1500</v>
      </c>
      <c r="K27" s="27" t="n">
        <f aca="false">K8*الافتراضات!$B$44</f>
        <v>1800</v>
      </c>
      <c r="L27" s="27" t="n">
        <f aca="false">L8*الافتراضات!$B$44</f>
        <v>2150</v>
      </c>
      <c r="M27" s="27" t="n">
        <f aca="false">M8*الافتراضات!$B$44</f>
        <v>2500</v>
      </c>
      <c r="N27" s="34" t="n">
        <f aca="false">SUM(B27:M27)</f>
        <v>11800</v>
      </c>
    </row>
    <row r="28" customFormat="false" ht="15" hidden="false" customHeight="true" outlineLevel="0" collapsed="false">
      <c r="A28" s="6" t="s">
        <v>190</v>
      </c>
      <c r="B28" s="27" t="n">
        <f aca="false">B6*الافتراضات!$B$45</f>
        <v>0</v>
      </c>
      <c r="C28" s="27" t="n">
        <f aca="false">C6*الافتراضات!$B$45</f>
        <v>200</v>
      </c>
      <c r="D28" s="27" t="n">
        <f aca="false">D6*الافتراضات!$B$45</f>
        <v>400</v>
      </c>
      <c r="E28" s="27" t="n">
        <f aca="false">E6*الافتراضات!$B$45</f>
        <v>600</v>
      </c>
      <c r="F28" s="27" t="n">
        <f aca="false">F6*الافتراضات!$B$45</f>
        <v>800</v>
      </c>
      <c r="G28" s="27" t="n">
        <f aca="false">G6*الافتراضات!$B$45</f>
        <v>800</v>
      </c>
      <c r="H28" s="27" t="n">
        <f aca="false">H6*الافتراضات!$B$45</f>
        <v>1000</v>
      </c>
      <c r="I28" s="27" t="n">
        <f aca="false">I6*الافتراضات!$B$45</f>
        <v>1000</v>
      </c>
      <c r="J28" s="27" t="n">
        <f aca="false">J6*الافتراضات!$B$45</f>
        <v>1200</v>
      </c>
      <c r="K28" s="27" t="n">
        <f aca="false">K6*الافتراضات!$B$45</f>
        <v>1200</v>
      </c>
      <c r="L28" s="27" t="n">
        <f aca="false">L6*الافتراضات!$B$45</f>
        <v>1400</v>
      </c>
      <c r="M28" s="27" t="n">
        <f aca="false">M6*الافتراضات!$B$45</f>
        <v>1400</v>
      </c>
      <c r="N28" s="34" t="n">
        <f aca="false">SUM(B28:M28)</f>
        <v>10000</v>
      </c>
    </row>
    <row r="29" customFormat="false" ht="15" hidden="false" customHeight="true" outlineLevel="0" collapsed="false">
      <c r="A29" s="32" t="s">
        <v>191</v>
      </c>
      <c r="B29" s="34" t="n">
        <f aca="false">B27+B28</f>
        <v>0</v>
      </c>
      <c r="C29" s="34" t="n">
        <f aca="false">C27+C28</f>
        <v>250</v>
      </c>
      <c r="D29" s="34" t="n">
        <f aca="false">D27+D28</f>
        <v>550</v>
      </c>
      <c r="E29" s="34" t="n">
        <f aca="false">E27+E28</f>
        <v>900</v>
      </c>
      <c r="F29" s="34" t="n">
        <f aca="false">F27+F28</f>
        <v>1300</v>
      </c>
      <c r="G29" s="34" t="n">
        <f aca="false">G27+G28</f>
        <v>1500</v>
      </c>
      <c r="H29" s="34" t="n">
        <f aca="false">H27+H28</f>
        <v>1950</v>
      </c>
      <c r="I29" s="34" t="n">
        <f aca="false">I27+I28</f>
        <v>2200</v>
      </c>
      <c r="J29" s="34" t="n">
        <f aca="false">J27+J28</f>
        <v>2700</v>
      </c>
      <c r="K29" s="34" t="n">
        <f aca="false">K27+K28</f>
        <v>3000</v>
      </c>
      <c r="L29" s="34" t="n">
        <f aca="false">L27+L28</f>
        <v>3550</v>
      </c>
      <c r="M29" s="34" t="n">
        <f aca="false">M27+M28</f>
        <v>3900</v>
      </c>
      <c r="N29" s="34" t="n">
        <f aca="false">SUM(B29:M29)</f>
        <v>21800</v>
      </c>
    </row>
    <row r="30" customFormat="false" ht="15" hidden="false" customHeight="true" outlineLevel="0" collapsed="false">
      <c r="A30" s="3"/>
      <c r="B30" s="3"/>
      <c r="C30" s="3"/>
      <c r="D30" s="3"/>
      <c r="E30" s="3"/>
      <c r="F30" s="3"/>
      <c r="G30" s="3"/>
      <c r="H30" s="3"/>
      <c r="I30" s="3"/>
      <c r="J30" s="3"/>
      <c r="K30" s="3"/>
      <c r="L30" s="3"/>
      <c r="M30" s="3"/>
      <c r="N30" s="3"/>
    </row>
    <row r="31" customFormat="false" ht="15" hidden="false" customHeight="true" outlineLevel="0" collapsed="false">
      <c r="A31" s="32" t="s">
        <v>192</v>
      </c>
      <c r="B31" s="34" t="n">
        <f aca="false">B24+B29</f>
        <v>4100</v>
      </c>
      <c r="C31" s="34" t="n">
        <f aca="false">C24+C29</f>
        <v>4450</v>
      </c>
      <c r="D31" s="34" t="n">
        <f aca="false">D24+D29</f>
        <v>4860</v>
      </c>
      <c r="E31" s="34" t="n">
        <f aca="false">E24+E29</f>
        <v>5331</v>
      </c>
      <c r="F31" s="34" t="n">
        <f aca="false">F24+F29</f>
        <v>5864.1</v>
      </c>
      <c r="G31" s="34" t="n">
        <f aca="false">G24+G29</f>
        <v>6210.51</v>
      </c>
      <c r="H31" s="34" t="n">
        <f aca="false">H24+H29</f>
        <v>16821.561</v>
      </c>
      <c r="I31" s="34" t="n">
        <f aca="false">I24+I29</f>
        <v>17248.7171</v>
      </c>
      <c r="J31" s="34" t="n">
        <f aca="false">J24+J29</f>
        <v>18243.58881</v>
      </c>
      <c r="K31" s="34" t="n">
        <f aca="false">K24+K29</f>
        <v>18757.947691</v>
      </c>
      <c r="L31" s="34" t="n">
        <f aca="false">L24+L29</f>
        <v>19543.7424601</v>
      </c>
      <c r="M31" s="34" t="n">
        <f aca="false">M24+M29</f>
        <v>20153.11670611</v>
      </c>
      <c r="N31" s="34" t="n">
        <f aca="false">SUM(B31:M31)</f>
        <v>141584.28376721</v>
      </c>
    </row>
    <row r="32" customFormat="false" ht="15" hidden="false" customHeight="true" outlineLevel="0" collapsed="false">
      <c r="A32" s="3"/>
      <c r="B32" s="3"/>
      <c r="C32" s="3"/>
      <c r="D32" s="3"/>
      <c r="E32" s="3"/>
      <c r="F32" s="3"/>
      <c r="G32" s="3"/>
      <c r="H32" s="3"/>
      <c r="I32" s="3"/>
      <c r="J32" s="3"/>
      <c r="K32" s="3"/>
      <c r="L32" s="3"/>
      <c r="M32" s="3"/>
      <c r="N32" s="3"/>
    </row>
    <row r="33" customFormat="false" ht="15" hidden="false" customHeight="true" outlineLevel="0" collapsed="false">
      <c r="A33" s="33" t="s">
        <v>193</v>
      </c>
      <c r="B33" s="3"/>
      <c r="C33" s="3"/>
      <c r="D33" s="3"/>
      <c r="E33" s="3"/>
      <c r="F33" s="3"/>
      <c r="G33" s="3"/>
      <c r="H33" s="3"/>
      <c r="I33" s="3"/>
      <c r="J33" s="3"/>
      <c r="K33" s="3"/>
      <c r="L33" s="3"/>
      <c r="M33" s="3"/>
      <c r="N33" s="3"/>
    </row>
    <row r="34" customFormat="false" ht="15" hidden="false" customHeight="true" outlineLevel="0" collapsed="false">
      <c r="A34" s="10" t="s">
        <v>194</v>
      </c>
      <c r="B34" s="35" t="n">
        <f aca="false">B11-B31</f>
        <v>-4100</v>
      </c>
      <c r="C34" s="35" t="n">
        <f aca="false">C11-C31</f>
        <v>1863.125</v>
      </c>
      <c r="D34" s="35" t="n">
        <f aca="false">D11-D31</f>
        <v>7766.25</v>
      </c>
      <c r="E34" s="35" t="n">
        <f aca="false">E11-E31</f>
        <v>13608.375</v>
      </c>
      <c r="F34" s="35" t="n">
        <f aca="false">F11-F31</f>
        <v>19388.4</v>
      </c>
      <c r="G34" s="35" t="n">
        <f aca="false">G11-G31</f>
        <v>19041.99</v>
      </c>
      <c r="H34" s="35" t="n">
        <f aca="false">H11-H31</f>
        <v>14744.064</v>
      </c>
      <c r="I34" s="35" t="n">
        <f aca="false">I11-I31</f>
        <v>14316.9079</v>
      </c>
      <c r="J34" s="35" t="n">
        <f aca="false">J11-J31</f>
        <v>19635.16119</v>
      </c>
      <c r="K34" s="35" t="n">
        <f aca="false">K11-K31</f>
        <v>19120.802309</v>
      </c>
      <c r="L34" s="35" t="n">
        <f aca="false">L11-L31</f>
        <v>24648.1325399</v>
      </c>
      <c r="M34" s="35" t="n">
        <f aca="false">M11-M31</f>
        <v>24038.75829389</v>
      </c>
      <c r="N34" s="34" t="n">
        <f aca="false">SUM(B34:M34)</f>
        <v>174071.96623279</v>
      </c>
    </row>
    <row r="35" customFormat="false" ht="15" hidden="false" customHeight="true" outlineLevel="0" collapsed="false">
      <c r="A35" s="32" t="s">
        <v>195</v>
      </c>
      <c r="B35" s="34" t="n">
        <f aca="false">0+B34</f>
        <v>-4100</v>
      </c>
      <c r="C35" s="34" t="n">
        <f aca="false">B35+C34</f>
        <v>-2236.875</v>
      </c>
      <c r="D35" s="34" t="n">
        <f aca="false">C35+D34</f>
        <v>5529.375</v>
      </c>
      <c r="E35" s="34" t="n">
        <f aca="false">D35+E34</f>
        <v>19137.75</v>
      </c>
      <c r="F35" s="34" t="n">
        <f aca="false">E35+F34</f>
        <v>38526.15</v>
      </c>
      <c r="G35" s="34" t="n">
        <f aca="false">F35+G34</f>
        <v>57568.14</v>
      </c>
      <c r="H35" s="34" t="n">
        <f aca="false">G35+H34</f>
        <v>72312.204</v>
      </c>
      <c r="I35" s="34" t="n">
        <f aca="false">H35+I34</f>
        <v>86629.1119</v>
      </c>
      <c r="J35" s="34" t="n">
        <f aca="false">I35+J34</f>
        <v>106264.27309</v>
      </c>
      <c r="K35" s="34" t="n">
        <f aca="false">J35+K34</f>
        <v>125385.075399</v>
      </c>
      <c r="L35" s="34" t="n">
        <f aca="false">K35+L34</f>
        <v>150033.2079389</v>
      </c>
      <c r="M35" s="34" t="n">
        <f aca="false">L35+M34</f>
        <v>174071.96623279</v>
      </c>
      <c r="N35" s="34" t="n">
        <f aca="false">M35</f>
        <v>174071.96623279</v>
      </c>
    </row>
    <row r="36" customFormat="false" ht="15" hidden="false" customHeight="true" outlineLevel="0" collapsed="false">
      <c r="A36" s="6" t="s">
        <v>196</v>
      </c>
      <c r="B36" s="27" t="n">
        <f aca="false">B12-B31</f>
        <v>-4100</v>
      </c>
      <c r="C36" s="27" t="n">
        <f aca="false">C12-C31</f>
        <v>-3923.90625</v>
      </c>
      <c r="D36" s="27" t="n">
        <f aca="false">D12-D31</f>
        <v>-3281.71875</v>
      </c>
      <c r="E36" s="27" t="n">
        <f aca="false">E12-E31</f>
        <v>-2174.4375</v>
      </c>
      <c r="F36" s="27" t="n">
        <f aca="false">F12-F31</f>
        <v>-603.1625</v>
      </c>
      <c r="G36" s="27" t="n">
        <f aca="false">G12-G31</f>
        <v>1154.8025</v>
      </c>
      <c r="H36" s="27" t="n">
        <f aca="false">H12-H31</f>
        <v>-6825.77975</v>
      </c>
      <c r="I36" s="27" t="n">
        <f aca="false">I12-I31</f>
        <v>-4622.4671</v>
      </c>
      <c r="J36" s="27" t="n">
        <f aca="false">J12-J31</f>
        <v>-2460.77631</v>
      </c>
      <c r="K36" s="27" t="n">
        <f aca="false">K12-K31</f>
        <v>181.427309000002</v>
      </c>
      <c r="L36" s="27" t="n">
        <f aca="false">L12-L31</f>
        <v>3078.2887899</v>
      </c>
      <c r="M36" s="27" t="n">
        <f aca="false">M12-M31</f>
        <v>6151.57079389</v>
      </c>
      <c r="N36" s="34" t="n">
        <f aca="false">SUM(B36:M36)</f>
        <v>-17426.15876721</v>
      </c>
    </row>
    <row r="37" customFormat="false" ht="15" hidden="false" customHeight="true" outlineLevel="0" collapsed="false">
      <c r="A37" s="6" t="s">
        <v>197</v>
      </c>
      <c r="B37" s="27" t="n">
        <f aca="false">0+B36</f>
        <v>-4100</v>
      </c>
      <c r="C37" s="27" t="n">
        <f aca="false">B37+C36</f>
        <v>-8023.90625</v>
      </c>
      <c r="D37" s="27" t="n">
        <f aca="false">C37+D36</f>
        <v>-11305.625</v>
      </c>
      <c r="E37" s="27" t="n">
        <f aca="false">D37+E36</f>
        <v>-13480.0625</v>
      </c>
      <c r="F37" s="27" t="n">
        <f aca="false">E37+F36</f>
        <v>-14083.225</v>
      </c>
      <c r="G37" s="27" t="n">
        <f aca="false">F37+G36</f>
        <v>-12928.4225</v>
      </c>
      <c r="H37" s="27" t="n">
        <f aca="false">G37+H36</f>
        <v>-19754.20225</v>
      </c>
      <c r="I37" s="27" t="n">
        <f aca="false">H37+I36</f>
        <v>-24376.66935</v>
      </c>
      <c r="J37" s="27" t="n">
        <f aca="false">I37+J36</f>
        <v>-26837.44566</v>
      </c>
      <c r="K37" s="27" t="n">
        <f aca="false">J37+K36</f>
        <v>-26656.018351</v>
      </c>
      <c r="L37" s="27" t="n">
        <f aca="false">K37+L36</f>
        <v>-23577.7295611</v>
      </c>
      <c r="M37" s="27" t="n">
        <f aca="false">L37+M36</f>
        <v>-17426.15876721</v>
      </c>
      <c r="N37" s="34" t="n">
        <f aca="false">M37</f>
        <v>-17426.15876721</v>
      </c>
    </row>
    <row r="38" customFormat="false" ht="15" hidden="false" customHeight="true" outlineLevel="0" collapsed="false">
      <c r="A38" s="3"/>
      <c r="B38" s="3"/>
      <c r="C38" s="3"/>
      <c r="D38" s="3"/>
      <c r="E38" s="3"/>
      <c r="F38" s="3"/>
      <c r="G38" s="3"/>
      <c r="H38" s="3"/>
      <c r="I38" s="3"/>
      <c r="J38" s="3"/>
      <c r="K38" s="3"/>
      <c r="L38" s="3"/>
      <c r="M38" s="3"/>
      <c r="N38" s="3"/>
    </row>
    <row r="39" customFormat="false" ht="15" hidden="false" customHeight="true" outlineLevel="0" collapsed="false">
      <c r="A39" s="10" t="s">
        <v>198</v>
      </c>
      <c r="B39" s="36" t="n">
        <f aca="false">MIN(B35:M35)</f>
        <v>-4100</v>
      </c>
      <c r="C39" s="3"/>
      <c r="D39" s="3"/>
      <c r="E39" s="3"/>
      <c r="F39" s="3"/>
      <c r="G39" s="3"/>
      <c r="H39" s="3"/>
      <c r="I39" s="3"/>
      <c r="J39" s="3"/>
      <c r="K39" s="3"/>
      <c r="L39" s="3"/>
      <c r="M39" s="3"/>
      <c r="N39" s="3"/>
    </row>
    <row r="40" customFormat="false" ht="15" hidden="false" customHeight="true" outlineLevel="0" collapsed="false">
      <c r="A40" s="6" t="s">
        <v>199</v>
      </c>
      <c r="B40" s="27" t="n">
        <f aca="false">N11-N12</f>
        <v>191498.125</v>
      </c>
      <c r="C40" s="3"/>
      <c r="D40" s="3"/>
      <c r="E40" s="3"/>
      <c r="F40" s="3"/>
      <c r="G40" s="3"/>
      <c r="H40" s="3"/>
      <c r="I40" s="3"/>
      <c r="J40" s="3"/>
      <c r="K40" s="3"/>
      <c r="L40" s="3"/>
      <c r="M40" s="3"/>
      <c r="N40"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2"/>
    <col collapsed="false" customWidth="true" hidden="false" outlineLevel="0" max="2" min="2" style="1" width="18"/>
    <col collapsed="false" customWidth="true" hidden="false" outlineLevel="0" max="3" min="3" style="1" width="50"/>
  </cols>
  <sheetData>
    <row r="1" customFormat="false" ht="17.25" hidden="false" customHeight="true" outlineLevel="0" collapsed="false">
      <c r="A1" s="18" t="s">
        <v>200</v>
      </c>
      <c r="B1" s="3"/>
      <c r="C1" s="3"/>
    </row>
    <row r="2" customFormat="false" ht="15" hidden="false" customHeight="true" outlineLevel="0" collapsed="false">
      <c r="A2" s="3"/>
      <c r="B2" s="3"/>
      <c r="C2" s="3"/>
    </row>
    <row r="3" customFormat="false" ht="15" hidden="false" customHeight="true" outlineLevel="0" collapsed="false">
      <c r="A3" s="5" t="s">
        <v>201</v>
      </c>
      <c r="B3" s="5" t="s">
        <v>3</v>
      </c>
      <c r="C3" s="5" t="s">
        <v>202</v>
      </c>
    </row>
    <row r="4" customFormat="false" ht="15" hidden="false" customHeight="true" outlineLevel="0" collapsed="false">
      <c r="A4" s="6" t="s">
        <v>7</v>
      </c>
      <c r="B4" s="7" t="n">
        <f aca="false">'التدفق الشهري'!N24/12</f>
        <v>9982.0236472675</v>
      </c>
      <c r="C4" s="8" t="s">
        <v>203</v>
      </c>
    </row>
    <row r="5" customFormat="false" ht="15" hidden="false" customHeight="true" outlineLevel="0" collapsed="false">
      <c r="A5" s="6" t="s">
        <v>204</v>
      </c>
      <c r="B5" s="7" t="n">
        <f aca="false">'التدفق الشهري'!M24</f>
        <v>16253.11670611</v>
      </c>
      <c r="C5" s="8" t="s">
        <v>205</v>
      </c>
    </row>
    <row r="6" customFormat="false" ht="15" hidden="false" customHeight="true" outlineLevel="0" collapsed="false">
      <c r="A6" s="6" t="s">
        <v>5</v>
      </c>
      <c r="B6" s="7" t="n">
        <f aca="false">'التدفق الشهري'!N31</f>
        <v>141584.28376721</v>
      </c>
      <c r="C6" s="8" t="s">
        <v>206</v>
      </c>
    </row>
    <row r="7" customFormat="false" ht="15" hidden="false" customHeight="true" outlineLevel="0" collapsed="false">
      <c r="A7" s="3"/>
      <c r="B7" s="3"/>
      <c r="C7" s="3"/>
    </row>
    <row r="8" customFormat="false" ht="15" hidden="false" customHeight="true" outlineLevel="0" collapsed="false">
      <c r="A8" s="6" t="s">
        <v>207</v>
      </c>
      <c r="B8" s="7" t="n">
        <f aca="false">الافتراضات!$B$39/12</f>
        <v>526.09375</v>
      </c>
      <c r="C8" s="8" t="s">
        <v>208</v>
      </c>
    </row>
    <row r="9" customFormat="false" ht="15" hidden="false" customHeight="true" outlineLevel="0" collapsed="false">
      <c r="A9" s="6" t="s">
        <v>209</v>
      </c>
      <c r="B9" s="7" t="n">
        <f aca="false">الافتراضات!$B$44</f>
        <v>50</v>
      </c>
      <c r="C9" s="8"/>
    </row>
    <row r="10" customFormat="false" ht="15" hidden="false" customHeight="true" outlineLevel="0" collapsed="false">
      <c r="A10" s="10" t="s">
        <v>210</v>
      </c>
      <c r="B10" s="27" t="n">
        <f aca="false">B8-B9</f>
        <v>476.09375</v>
      </c>
      <c r="C10" s="8" t="s">
        <v>211</v>
      </c>
    </row>
    <row r="11" customFormat="false" ht="15" hidden="false" customHeight="true" outlineLevel="0" collapsed="false">
      <c r="A11" s="6" t="s">
        <v>12</v>
      </c>
      <c r="B11" s="26" t="n">
        <f aca="false">IF(B8=0,0,B10/B8)</f>
        <v>0.904959904959905</v>
      </c>
      <c r="C11" s="8" t="s">
        <v>212</v>
      </c>
    </row>
    <row r="12" customFormat="false" ht="15" hidden="false" customHeight="true" outlineLevel="0" collapsed="false">
      <c r="A12" s="3"/>
      <c r="B12" s="3"/>
      <c r="C12" s="3"/>
    </row>
    <row r="13" customFormat="false" ht="15" hidden="false" customHeight="true" outlineLevel="0" collapsed="false">
      <c r="A13" s="10" t="s">
        <v>213</v>
      </c>
      <c r="B13" s="31" t="n">
        <f aca="false">IF(B10&lt;=0,0,ROUNDUP(B4/B10,0))</f>
        <v>21</v>
      </c>
      <c r="C13" s="8" t="s">
        <v>214</v>
      </c>
    </row>
    <row r="14" customFormat="false" ht="15" hidden="false" customHeight="true" outlineLevel="0" collapsed="false">
      <c r="A14" s="10" t="s">
        <v>215</v>
      </c>
      <c r="B14" s="31" t="n">
        <f aca="false">IF(B10&lt;=0,0,ROUNDUP(B5/B10,0))</f>
        <v>35</v>
      </c>
      <c r="C14" s="8" t="s">
        <v>216</v>
      </c>
    </row>
    <row r="15" customFormat="false" ht="15" hidden="false" customHeight="true" outlineLevel="0" collapsed="false">
      <c r="A15" s="10" t="s">
        <v>217</v>
      </c>
      <c r="B15" s="31" t="n">
        <f aca="false">IF((الافتراضات!$B$39-B9*12-الافتراضات!$B$45)&lt;=0,0,ROUNDUP(('التدفق الشهري'!N24)/(الافتراضات!$B$39-B9*12-الافتراضات!$B$45),0))</f>
        <v>22</v>
      </c>
      <c r="C15" s="8" t="s">
        <v>218</v>
      </c>
    </row>
    <row r="16" customFormat="false" ht="15" hidden="false" customHeight="true" outlineLevel="0" collapsed="false">
      <c r="A16" s="6" t="s">
        <v>17</v>
      </c>
      <c r="B16" s="12" t="n">
        <f aca="false">الافتراضات!$B$68</f>
        <v>50</v>
      </c>
      <c r="C16" s="8" t="s">
        <v>219</v>
      </c>
    </row>
    <row r="17" customFormat="false" ht="15" hidden="false" customHeight="true" outlineLevel="0" collapsed="false">
      <c r="A17" s="10" t="s">
        <v>220</v>
      </c>
      <c r="B17" s="31" t="n">
        <f aca="false">B16-B15</f>
        <v>28</v>
      </c>
      <c r="C17" s="8" t="s">
        <v>221</v>
      </c>
    </row>
    <row r="18" customFormat="false" ht="15" hidden="false" customHeight="true" outlineLevel="0" collapsed="false">
      <c r="A18" s="3"/>
      <c r="B18" s="3"/>
      <c r="C18" s="3"/>
    </row>
    <row r="19" customFormat="false" ht="15" hidden="false" customHeight="true" outlineLevel="0" collapsed="false">
      <c r="A19" s="21" t="s">
        <v>222</v>
      </c>
      <c r="B19" s="3"/>
      <c r="C19" s="3"/>
    </row>
    <row r="20" customFormat="false" ht="15" hidden="false" customHeight="true" outlineLevel="0" collapsed="false">
      <c r="A20" s="6" t="s">
        <v>223</v>
      </c>
      <c r="B20" s="30" t="n">
        <f aca="false">ROUNDUP('التدفق الشهري'!N24/(الافتراضات!$B$23/(1+الافتراضات!$B$21)-الافتراضات!$B$23*الافتراضات!$B$22-B9*12-الافتراضات!$B$45),0)</f>
        <v>56</v>
      </c>
      <c r="C20" s="8"/>
    </row>
    <row r="21" customFormat="false" ht="15" hidden="false" customHeight="true" outlineLevel="0" collapsed="false">
      <c r="A21" s="6" t="s">
        <v>224</v>
      </c>
      <c r="B21" s="30" t="n">
        <f aca="false">ROUNDUP('التدفق الشهري'!N24/((الافتراضات!$B$23+الافتراضات!$B$26)/(1+الافتراضات!$B$21)-(الافتراضات!$B$23+الافتراضات!$B$26)*الافتراضات!$B$22-B9*12-الافتراضات!$B$45),0)</f>
        <v>40</v>
      </c>
      <c r="C21" s="8"/>
    </row>
    <row r="22" customFormat="false" ht="15" hidden="false" customHeight="true" outlineLevel="0" collapsed="false">
      <c r="A22" s="6" t="s">
        <v>225</v>
      </c>
      <c r="B22" s="30" t="n">
        <f aca="false">ROUNDUP('التدفق الشهري'!N24/(الافتراضات!$B$24/(1+الافتراضات!$B$21)-الافتراضات!$B$24*الافتراضات!$B$22-B9*12-الافتراضات!$B$45),0)</f>
        <v>21</v>
      </c>
      <c r="C22" s="8"/>
    </row>
    <row r="23" customFormat="false" ht="15" hidden="false" customHeight="true" outlineLevel="0" collapsed="false">
      <c r="A23" s="6" t="s">
        <v>226</v>
      </c>
      <c r="B23" s="30" t="n">
        <f aca="false">ROUNDUP('التدفق الشهري'!N24/(الافتراضات!$B$25/(1+الافتراضات!$B$21)-الافتراضات!$B$25*الافتراضات!$B$22-B9*12-الافتراضات!$B$45),0)</f>
        <v>8</v>
      </c>
      <c r="C23" s="8"/>
    </row>
    <row r="24" customFormat="false" ht="15" hidden="false" customHeight="true" outlineLevel="0" collapsed="false">
      <c r="A24" s="3"/>
      <c r="B24" s="3"/>
      <c r="C24" s="3"/>
    </row>
    <row r="25" customFormat="false" ht="15" hidden="false" customHeight="true" outlineLevel="0" collapsed="false">
      <c r="A25" s="21" t="s">
        <v>227</v>
      </c>
      <c r="B25" s="3"/>
      <c r="C25" s="3"/>
    </row>
    <row r="26" customFormat="false" ht="15" hidden="false" customHeight="true" outlineLevel="0" collapsed="false">
      <c r="A26" s="6" t="s">
        <v>228</v>
      </c>
      <c r="B26" s="7" t="n">
        <f aca="false">'التدفق الشهري'!N16+'التدفق الشهري'!N19+'التدفق الشهري'!N16*الافتراضات!$B$11</f>
        <v>57384.28376721</v>
      </c>
      <c r="C26" s="8" t="s">
        <v>229</v>
      </c>
    </row>
    <row r="27" customFormat="false" ht="15" hidden="false" customHeight="true" outlineLevel="0" collapsed="false">
      <c r="A27" s="6" t="s">
        <v>230</v>
      </c>
      <c r="B27" s="27" t="n">
        <f aca="false">IF(الافتراضات!$B$68=0,0,B26/الافتراضات!$B$68)</f>
        <v>1147.6856753442</v>
      </c>
      <c r="C27" s="8" t="s">
        <v>231</v>
      </c>
    </row>
    <row r="28" customFormat="false" ht="15" hidden="false" customHeight="true" outlineLevel="0" collapsed="false">
      <c r="A28" s="6" t="s">
        <v>232</v>
      </c>
      <c r="B28" s="27" t="n">
        <f aca="false">B10*12</f>
        <v>5713.125</v>
      </c>
      <c r="C28" s="8"/>
    </row>
    <row r="29" customFormat="false" ht="15" hidden="false" customHeight="true" outlineLevel="0" collapsed="false">
      <c r="A29" s="6" t="s">
        <v>233</v>
      </c>
      <c r="B29" s="37" t="n">
        <f aca="false">IF(B10&lt;=0,0,B27/B10)</f>
        <v>2.41062957735572</v>
      </c>
      <c r="C29" s="8" t="s">
        <v>234</v>
      </c>
    </row>
    <row r="30" customFormat="false" ht="15" hidden="false" customHeight="true" outlineLevel="0" collapsed="false">
      <c r="A30" s="6" t="s">
        <v>235</v>
      </c>
      <c r="B30" s="38" t="n">
        <f aca="false">IF(B27=0,0,B28*3/B27)</f>
        <v>14.9338580834511</v>
      </c>
      <c r="C30" s="8" t="s">
        <v>236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4"/>
    <col collapsed="false" customWidth="true" hidden="false" outlineLevel="0" max="4" min="2" style="1" width="20"/>
  </cols>
  <sheetData>
    <row r="1" customFormat="false" ht="17.25" hidden="false" customHeight="true" outlineLevel="0" collapsed="false">
      <c r="A1" s="18" t="s">
        <v>237</v>
      </c>
      <c r="B1" s="3"/>
      <c r="C1" s="3"/>
      <c r="D1" s="3"/>
    </row>
    <row r="2" customFormat="false" ht="15" hidden="false" customHeight="true" outlineLevel="0" collapsed="false">
      <c r="A2" s="4" t="s">
        <v>238</v>
      </c>
      <c r="B2" s="3"/>
      <c r="C2" s="3"/>
      <c r="D2" s="3"/>
    </row>
    <row r="3" customFormat="false" ht="15" hidden="false" customHeight="true" outlineLevel="0" collapsed="false">
      <c r="A3" s="3"/>
      <c r="B3" s="3"/>
      <c r="C3" s="3"/>
      <c r="D3" s="3"/>
    </row>
    <row r="4" customFormat="false" ht="15" hidden="false" customHeight="true" outlineLevel="0" collapsed="false">
      <c r="A4" s="5" t="s">
        <v>49</v>
      </c>
      <c r="B4" s="5" t="s">
        <v>239</v>
      </c>
      <c r="C4" s="5" t="s">
        <v>240</v>
      </c>
      <c r="D4" s="5" t="s">
        <v>241</v>
      </c>
    </row>
    <row r="5" customFormat="false" ht="15" hidden="false" customHeight="true" outlineLevel="0" collapsed="false">
      <c r="A5" s="6" t="s">
        <v>242</v>
      </c>
      <c r="B5" s="24" t="n">
        <v>25</v>
      </c>
      <c r="C5" s="24" t="n">
        <v>50</v>
      </c>
      <c r="D5" s="24" t="n">
        <v>80</v>
      </c>
    </row>
    <row r="6" customFormat="false" ht="15" hidden="false" customHeight="true" outlineLevel="0" collapsed="false">
      <c r="A6" s="6" t="s">
        <v>243</v>
      </c>
      <c r="B6" s="27" t="n">
        <f aca="false">B5*الافتراضات!$B$39</f>
        <v>157828.125</v>
      </c>
      <c r="C6" s="27" t="n">
        <f aca="false">C5*الافتراضات!$B$39</f>
        <v>315656.25</v>
      </c>
      <c r="D6" s="27" t="n">
        <f aca="false">D5*الافتراضات!$B$39</f>
        <v>505050</v>
      </c>
    </row>
    <row r="7" customFormat="false" ht="15" hidden="false" customHeight="true" outlineLevel="0" collapsed="false">
      <c r="A7" s="6" t="s">
        <v>244</v>
      </c>
      <c r="B7" s="7" t="n">
        <f aca="false">'التدفق الشهري'!N24</f>
        <v>119784.28376721</v>
      </c>
      <c r="C7" s="7" t="n">
        <f aca="false">'التدفق الشهري'!N24</f>
        <v>119784.28376721</v>
      </c>
      <c r="D7" s="7" t="n">
        <f aca="false">'التدفق الشهري'!N24</f>
        <v>119784.28376721</v>
      </c>
    </row>
    <row r="8" customFormat="false" ht="13.5" hidden="false" customHeight="true" outlineLevel="0" collapsed="false">
      <c r="A8" s="6" t="s">
        <v>245</v>
      </c>
      <c r="B8" s="27" t="n">
        <f aca="false">B5*(الافتراضات!$B$44*6+الافتراضات!$B$45)</f>
        <v>12500</v>
      </c>
      <c r="C8" s="27" t="n">
        <f aca="false">C5*(الافتراضات!$B$44*6+الافتراضات!$B$45)</f>
        <v>25000</v>
      </c>
      <c r="D8" s="27" t="n">
        <f aca="false">D5*(الافتراضات!$B$44*6+الافتراضات!$B$45)</f>
        <v>40000</v>
      </c>
    </row>
    <row r="9" customFormat="false" ht="15" hidden="false" customHeight="true" outlineLevel="0" collapsed="false">
      <c r="A9" s="6" t="s">
        <v>192</v>
      </c>
      <c r="B9" s="27" t="n">
        <f aca="false">B7+B8</f>
        <v>132284.28376721</v>
      </c>
      <c r="C9" s="27" t="n">
        <f aca="false">C7+C8</f>
        <v>144784.28376721</v>
      </c>
      <c r="D9" s="27" t="n">
        <f aca="false">D7+D8</f>
        <v>159784.28376721</v>
      </c>
    </row>
    <row r="10" customFormat="false" ht="15" hidden="false" customHeight="true" outlineLevel="0" collapsed="false">
      <c r="A10" s="10" t="s">
        <v>22</v>
      </c>
      <c r="B10" s="34" t="n">
        <f aca="false">B6-B9</f>
        <v>25543.84123279</v>
      </c>
      <c r="C10" s="34" t="n">
        <f aca="false">C6-C9</f>
        <v>170871.96623279</v>
      </c>
      <c r="D10" s="34" t="n">
        <f aca="false">D6-D9</f>
        <v>345265.71623279</v>
      </c>
    </row>
    <row r="11" customFormat="false" ht="13.5" hidden="false" customHeight="true" outlineLevel="0" collapsed="false">
      <c r="A11" s="6" t="s">
        <v>246</v>
      </c>
      <c r="B11" s="27" t="n">
        <f aca="false">B6/2</f>
        <v>78914.0625</v>
      </c>
      <c r="C11" s="27" t="n">
        <f aca="false">C6/2</f>
        <v>157828.125</v>
      </c>
      <c r="D11" s="27" t="n">
        <f aca="false">D6/2</f>
        <v>252525</v>
      </c>
    </row>
    <row r="12" customFormat="false" ht="15" hidden="false" customHeight="true" outlineLevel="0" collapsed="false">
      <c r="A12" s="10" t="s">
        <v>247</v>
      </c>
      <c r="B12" s="34" t="n">
        <f aca="false">B11-B9</f>
        <v>-53370.22126721</v>
      </c>
      <c r="C12" s="34" t="n">
        <f aca="false">C11-C9</f>
        <v>13043.84123279</v>
      </c>
      <c r="D12" s="34" t="n">
        <f aca="false">D11-D9</f>
        <v>92740.71623279</v>
      </c>
    </row>
    <row r="13" customFormat="false" ht="13.5" hidden="false" customHeight="true" outlineLevel="0" collapsed="false">
      <c r="A13" s="6" t="s">
        <v>248</v>
      </c>
      <c r="B13" s="27" t="n">
        <f aca="false">B5*الافتراضات!$B$39/12</f>
        <v>13152.34375</v>
      </c>
      <c r="C13" s="27" t="n">
        <f aca="false">C5*الافتراضات!$B$39/12</f>
        <v>26304.6875</v>
      </c>
      <c r="D13" s="27" t="n">
        <f aca="false">D5*الافتراضات!$B$39/12</f>
        <v>42087.5</v>
      </c>
    </row>
    <row r="14" customFormat="false" ht="15" hidden="false" customHeight="true" outlineLevel="0" collapsed="false">
      <c r="A14" s="6" t="s">
        <v>8</v>
      </c>
      <c r="B14" s="7" t="n">
        <f aca="false">'التدفق الشهري'!M24</f>
        <v>16253.11670611</v>
      </c>
      <c r="C14" s="7" t="n">
        <f aca="false">'التدفق الشهري'!M24</f>
        <v>16253.11670611</v>
      </c>
      <c r="D14" s="7" t="n">
        <f aca="false">'التدفق الشهري'!M24</f>
        <v>16253.11670611</v>
      </c>
    </row>
    <row r="15" customFormat="false" ht="15" hidden="false" customHeight="true" outlineLevel="0" collapsed="false">
      <c r="A15" s="10" t="s">
        <v>249</v>
      </c>
      <c r="B15" s="39" t="n">
        <f aca="false">IF(B14=0,0,(B13-B5*الافتراضات!$B$44)/B14)</f>
        <v>0.732311467715332</v>
      </c>
      <c r="C15" s="39" t="n">
        <f aca="false">IF(C14=0,0,(C13-C5*الافتراضات!$B$44)/C14)</f>
        <v>1.46462293543066</v>
      </c>
      <c r="D15" s="39" t="n">
        <f aca="false">IF(D14=0,0,(D13-D5*الافتراضات!$B$44)/D14)</f>
        <v>2.34339669668906</v>
      </c>
    </row>
    <row r="16" customFormat="false" ht="15" hidden="false" customHeight="true" outlineLevel="0" collapsed="false">
      <c r="A16" s="3"/>
      <c r="B16" s="3"/>
      <c r="C16" s="3"/>
      <c r="D16" s="3"/>
    </row>
    <row r="17" customFormat="false" ht="15" hidden="false" customHeight="true" outlineLevel="0" collapsed="false">
      <c r="A17" s="4" t="s">
        <v>250</v>
      </c>
      <c r="B17" s="3"/>
      <c r="C17" s="3"/>
      <c r="D17"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48"/>
    <col collapsed="false" customWidth="true" hidden="false" outlineLevel="0" max="4" min="2" style="1" width="16"/>
    <col collapsed="false" customWidth="true" hidden="false" outlineLevel="0" max="5" min="5" style="1" width="70"/>
  </cols>
  <sheetData>
    <row r="1" customFormat="false" ht="16.5" hidden="false" customHeight="true" outlineLevel="0" collapsed="false">
      <c r="A1" s="18" t="s">
        <v>251</v>
      </c>
    </row>
    <row r="2" customFormat="false" ht="39.75" hidden="false" customHeight="true" outlineLevel="0" collapsed="false">
      <c r="A2" s="40" t="s">
        <v>252</v>
      </c>
    </row>
    <row r="4" customFormat="false" ht="15" hidden="false" customHeight="true" outlineLevel="0" collapsed="false">
      <c r="A4" s="3" t="s">
        <v>49</v>
      </c>
      <c r="B4" s="3" t="s">
        <v>253</v>
      </c>
      <c r="C4" s="3" t="s">
        <v>254</v>
      </c>
      <c r="D4" s="3" t="s">
        <v>255</v>
      </c>
      <c r="E4" s="3" t="s">
        <v>4</v>
      </c>
    </row>
    <row r="5" customFormat="false" ht="15" hidden="false" customHeight="true" outlineLevel="0" collapsed="false">
      <c r="A5" s="6" t="s">
        <v>256</v>
      </c>
      <c r="B5" s="6"/>
      <c r="C5" s="6"/>
      <c r="D5" s="6"/>
      <c r="E5" s="6"/>
    </row>
    <row r="6" customFormat="false" ht="15" hidden="false" customHeight="true" outlineLevel="0" collapsed="false">
      <c r="A6" s="21" t="s">
        <v>257</v>
      </c>
      <c r="B6" s="41" t="n">
        <f aca="false">الافتراضات!$B$68</f>
        <v>50</v>
      </c>
      <c r="C6" s="24" t="n">
        <v>100</v>
      </c>
      <c r="D6" s="24" t="n">
        <v>160</v>
      </c>
      <c r="E6" s="21" t="s">
        <v>258</v>
      </c>
    </row>
    <row r="7" customFormat="false" ht="15" hidden="false" customHeight="true" outlineLevel="0" collapsed="false">
      <c r="A7" s="21" t="s">
        <v>259</v>
      </c>
      <c r="B7" s="21"/>
      <c r="C7" s="21" t="n">
        <v>0.85</v>
      </c>
      <c r="D7" s="21" t="n">
        <v>0.88</v>
      </c>
      <c r="E7" s="21" t="s">
        <v>260</v>
      </c>
    </row>
    <row r="8" customFormat="false" ht="15" hidden="false" customHeight="true" outlineLevel="0" collapsed="false">
      <c r="A8" s="21" t="s">
        <v>261</v>
      </c>
      <c r="B8" s="42" t="n">
        <f aca="false">0</f>
        <v>0</v>
      </c>
      <c r="C8" s="42" t="n">
        <f aca="false">1-C7</f>
        <v>0.15</v>
      </c>
      <c r="D8" s="42" t="n">
        <f aca="false">1-D7</f>
        <v>0.12</v>
      </c>
      <c r="E8" s="21" t="s">
        <v>262</v>
      </c>
    </row>
    <row r="9" customFormat="false" ht="15" hidden="false" customHeight="true" outlineLevel="0" collapsed="false">
      <c r="A9" s="21" t="s">
        <v>263</v>
      </c>
      <c r="B9" s="30" t="n">
        <v>0</v>
      </c>
      <c r="C9" s="30" t="n">
        <f aca="false">B12</f>
        <v>50</v>
      </c>
      <c r="D9" s="30" t="n">
        <f aca="false">C12</f>
        <v>143</v>
      </c>
    </row>
    <row r="10" customFormat="false" ht="15" hidden="false" customHeight="true" outlineLevel="0" collapsed="false">
      <c r="A10" s="21" t="s">
        <v>264</v>
      </c>
      <c r="B10" s="30" t="n">
        <v>0</v>
      </c>
      <c r="C10" s="30" t="n">
        <f aca="false">ROUND(C9*C7,0)</f>
        <v>43</v>
      </c>
      <c r="D10" s="30" t="n">
        <f aca="false">ROUND(D9*D7,0)</f>
        <v>126</v>
      </c>
    </row>
    <row r="11" customFormat="false" ht="15" hidden="false" customHeight="true" outlineLevel="0" collapsed="false">
      <c r="A11" s="21" t="s">
        <v>265</v>
      </c>
      <c r="B11" s="30" t="n">
        <v>0</v>
      </c>
      <c r="C11" s="30" t="n">
        <f aca="false">C9-C10</f>
        <v>7</v>
      </c>
      <c r="D11" s="30" t="n">
        <f aca="false">D9-D10</f>
        <v>17</v>
      </c>
    </row>
    <row r="12" customFormat="false" ht="15" hidden="false" customHeight="true" outlineLevel="0" collapsed="false">
      <c r="A12" s="21" t="s">
        <v>266</v>
      </c>
      <c r="B12" s="30" t="n">
        <f aca="false">B9+B6</f>
        <v>50</v>
      </c>
      <c r="C12" s="30" t="n">
        <f aca="false">C10+C6</f>
        <v>143</v>
      </c>
      <c r="D12" s="30" t="n">
        <f aca="false">D10+D6</f>
        <v>286</v>
      </c>
    </row>
    <row r="13" customFormat="false" ht="15" hidden="false" customHeight="true" outlineLevel="0" collapsed="false">
      <c r="A13" s="6" t="s">
        <v>267</v>
      </c>
      <c r="B13" s="6"/>
      <c r="C13" s="6"/>
      <c r="D13" s="6"/>
      <c r="E13" s="6"/>
    </row>
    <row r="14" customFormat="false" ht="15" hidden="false" customHeight="true" outlineLevel="0" collapsed="false">
      <c r="A14" s="21" t="s">
        <v>268</v>
      </c>
      <c r="B14" s="26" t="n">
        <f aca="false">الافتراضات!$B$37</f>
        <v>7475</v>
      </c>
      <c r="C14" s="26" t="n">
        <f aca="false">B14*(1+C15)</f>
        <v>7848.75</v>
      </c>
      <c r="D14" s="26" t="n">
        <f aca="false">C14*(1+D15)</f>
        <v>8241.1875</v>
      </c>
      <c r="E14" s="21" t="s">
        <v>269</v>
      </c>
    </row>
    <row r="15" customFormat="false" ht="15" hidden="false" customHeight="true" outlineLevel="0" collapsed="false">
      <c r="A15" s="21" t="s">
        <v>270</v>
      </c>
      <c r="B15" s="21"/>
      <c r="C15" s="21" t="n">
        <v>0.05</v>
      </c>
      <c r="D15" s="21" t="n">
        <v>0.05</v>
      </c>
      <c r="E15" s="21" t="s">
        <v>271</v>
      </c>
    </row>
    <row r="16" customFormat="false" ht="15" hidden="false" customHeight="true" outlineLevel="0" collapsed="false">
      <c r="A16" s="21" t="s">
        <v>272</v>
      </c>
      <c r="B16" s="26" t="n">
        <f aca="false">B14/(1+الافتراضات!$B$21)-B14*الافتراضات!$B$22</f>
        <v>6313.125</v>
      </c>
      <c r="C16" s="26" t="n">
        <f aca="false">C14/(1+الافتراضات!$B$21)-C14*الافتراضات!$B$22</f>
        <v>6628.78125</v>
      </c>
      <c r="D16" s="26" t="n">
        <f aca="false">D14/(1+الافتراضات!$B$21)-D14*الافتراضات!$B$22</f>
        <v>6960.2203125</v>
      </c>
    </row>
    <row r="17" customFormat="false" ht="15" hidden="false" customHeight="true" outlineLevel="0" collapsed="false">
      <c r="A17" s="21" t="s">
        <v>273</v>
      </c>
      <c r="B17" s="26" t="n">
        <f aca="false">الافتراضات!$B$44</f>
        <v>50</v>
      </c>
      <c r="C17" s="26" t="n">
        <f aca="false">B17*1.1</f>
        <v>55</v>
      </c>
      <c r="D17" s="26" t="n">
        <f aca="false">C17*1.1</f>
        <v>60.5</v>
      </c>
      <c r="E17" s="21" t="s">
        <v>274</v>
      </c>
    </row>
    <row r="18" customFormat="false" ht="15" hidden="false" customHeight="true" outlineLevel="0" collapsed="false">
      <c r="A18" s="21" t="s">
        <v>275</v>
      </c>
      <c r="B18" s="26" t="n">
        <f aca="false">الافتراضات!$B$45</f>
        <v>200</v>
      </c>
      <c r="C18" s="26" t="n">
        <f aca="false">B18</f>
        <v>200</v>
      </c>
      <c r="D18" s="26" t="n">
        <f aca="false">C18</f>
        <v>200</v>
      </c>
    </row>
    <row r="19" customFormat="false" ht="15" hidden="false" customHeight="true" outlineLevel="0" collapsed="false">
      <c r="A19" s="6" t="s">
        <v>276</v>
      </c>
      <c r="B19" s="6"/>
      <c r="C19" s="6"/>
      <c r="D19" s="6"/>
      <c r="E19" s="6"/>
    </row>
    <row r="20" customFormat="false" ht="15" hidden="false" customHeight="true" outlineLevel="0" collapsed="false">
      <c r="A20" s="21" t="s">
        <v>277</v>
      </c>
      <c r="B20" s="26" t="n">
        <f aca="false">'التدفق الشهري'!N15+'التدفق الشهري'!N16</f>
        <v>60000</v>
      </c>
      <c r="C20" s="26" t="n">
        <v>120000</v>
      </c>
      <c r="D20" s="26" t="n">
        <v>120000</v>
      </c>
      <c r="E20" s="21" t="s">
        <v>278</v>
      </c>
    </row>
    <row r="21" customFormat="false" ht="15" hidden="false" customHeight="true" outlineLevel="0" collapsed="false">
      <c r="A21" s="21" t="s">
        <v>279</v>
      </c>
      <c r="B21" s="25" t="n">
        <v>0</v>
      </c>
      <c r="C21" s="25" t="n">
        <v>60000</v>
      </c>
      <c r="D21" s="25" t="n">
        <v>132000</v>
      </c>
      <c r="E21" s="21" t="s">
        <v>280</v>
      </c>
    </row>
    <row r="22" customFormat="false" ht="15" hidden="false" customHeight="true" outlineLevel="0" collapsed="false">
      <c r="A22" s="21" t="s">
        <v>281</v>
      </c>
      <c r="B22" s="25" t="n">
        <f aca="false">'التدفق الشهري'!N19</f>
        <v>21384.28376721</v>
      </c>
      <c r="C22" s="25" t="n">
        <v>36000</v>
      </c>
      <c r="D22" s="25" t="n">
        <v>60000</v>
      </c>
      <c r="E22" s="21" t="s">
        <v>282</v>
      </c>
    </row>
    <row r="23" customFormat="false" ht="15" hidden="false" customHeight="true" outlineLevel="0" collapsed="false">
      <c r="A23" s="21" t="s">
        <v>283</v>
      </c>
      <c r="B23" s="25" t="n">
        <f aca="false">'التدفق الشهري'!N20</f>
        <v>4800</v>
      </c>
      <c r="C23" s="25" t="n">
        <v>14400</v>
      </c>
      <c r="D23" s="25" t="n">
        <v>28800</v>
      </c>
      <c r="E23" s="21" t="s">
        <v>284</v>
      </c>
    </row>
    <row r="24" customFormat="false" ht="15" hidden="false" customHeight="true" outlineLevel="0" collapsed="false">
      <c r="A24" s="21" t="s">
        <v>285</v>
      </c>
      <c r="B24" s="25" t="n">
        <f aca="false">'التدفق الشهري'!N18+'التدفق الشهري'!N22</f>
        <v>27600</v>
      </c>
      <c r="C24" s="25" t="n">
        <v>30000</v>
      </c>
      <c r="D24" s="25" t="n">
        <v>36000</v>
      </c>
    </row>
    <row r="25" customFormat="false" ht="15" hidden="false" customHeight="true" outlineLevel="0" collapsed="false">
      <c r="A25" s="21" t="s">
        <v>186</v>
      </c>
      <c r="B25" s="25" t="n">
        <f aca="false">'التدفق الشهري'!N23</f>
        <v>6000</v>
      </c>
      <c r="C25" s="25" t="n">
        <v>9600</v>
      </c>
      <c r="D25" s="25" t="n">
        <v>12000</v>
      </c>
      <c r="E25" s="21" t="s">
        <v>286</v>
      </c>
    </row>
    <row r="26" customFormat="false" ht="15" hidden="false" customHeight="true" outlineLevel="0" collapsed="false">
      <c r="A26" s="21" t="s">
        <v>287</v>
      </c>
      <c r="B26" s="26" t="n">
        <v>0</v>
      </c>
      <c r="C26" s="26" t="n">
        <f aca="false">(C20+C21)*0.1175</f>
        <v>21150</v>
      </c>
      <c r="D26" s="26" t="n">
        <f aca="false">(D20+D21)*0.1175</f>
        <v>29610</v>
      </c>
      <c r="E26" s="21" t="s">
        <v>288</v>
      </c>
    </row>
    <row r="27" customFormat="false" ht="15" hidden="false" customHeight="true" outlineLevel="0" collapsed="false">
      <c r="A27" s="21" t="s">
        <v>187</v>
      </c>
      <c r="B27" s="26" t="n">
        <f aca="false">SUM(B20:B26)</f>
        <v>119784.28376721</v>
      </c>
      <c r="C27" s="26" t="n">
        <f aca="false">SUM(C20:C26)</f>
        <v>291150</v>
      </c>
      <c r="D27" s="26" t="n">
        <f aca="false">SUM(D20:D26)</f>
        <v>418410</v>
      </c>
    </row>
    <row r="28" customFormat="false" ht="15" hidden="false" customHeight="true" outlineLevel="0" collapsed="false">
      <c r="A28" s="6" t="s">
        <v>289</v>
      </c>
      <c r="B28" s="6"/>
      <c r="C28" s="6"/>
      <c r="D28" s="6"/>
      <c r="E28" s="6"/>
    </row>
    <row r="29" customFormat="false" ht="15" hidden="false" customHeight="true" outlineLevel="0" collapsed="false">
      <c r="A29" s="21" t="s">
        <v>243</v>
      </c>
      <c r="B29" s="26" t="n">
        <f aca="false">B6*B16</f>
        <v>315656.25</v>
      </c>
      <c r="C29" s="26" t="n">
        <f aca="false">(C6+C10)*C16</f>
        <v>947915.71875</v>
      </c>
      <c r="D29" s="26" t="n">
        <f aca="false">(D6+D10)*D16</f>
        <v>1990623.009375</v>
      </c>
      <c r="E29" s="21" t="s">
        <v>290</v>
      </c>
    </row>
    <row r="30" customFormat="false" ht="15" hidden="false" customHeight="true" outlineLevel="0" collapsed="false">
      <c r="A30" s="21" t="s">
        <v>291</v>
      </c>
      <c r="B30" s="26" t="n">
        <f aca="false">'التدفق الشهري'!N12</f>
        <v>124158.125</v>
      </c>
      <c r="C30" s="26" t="n">
        <f aca="false">C10*C16+C6*C16/2+B6*B16/2</f>
        <v>774304.78125</v>
      </c>
      <c r="D30" s="26" t="n">
        <f aca="false">D10*D16+D6*D16/2+C6*C16/2</f>
        <v>1765244.446875</v>
      </c>
      <c r="E30" s="21" t="s">
        <v>292</v>
      </c>
    </row>
    <row r="31" customFormat="false" ht="15" hidden="false" customHeight="true" outlineLevel="0" collapsed="false">
      <c r="A31" s="21" t="s">
        <v>293</v>
      </c>
      <c r="B31" s="26" t="n">
        <f aca="false">'التدفق الشهري'!N29</f>
        <v>21800</v>
      </c>
      <c r="C31" s="26" t="n">
        <f aca="false">(C9*C7+C6/2)*C17*12+C6*C18</f>
        <v>81050</v>
      </c>
      <c r="D31" s="26" t="n">
        <f aca="false">(D9*D7+D6/2)*D17*12+D6*D18</f>
        <v>181439.84</v>
      </c>
      <c r="E31" s="21" t="s">
        <v>294</v>
      </c>
    </row>
    <row r="32" customFormat="false" ht="15" hidden="false" customHeight="true" outlineLevel="0" collapsed="false">
      <c r="A32" s="21" t="s">
        <v>295</v>
      </c>
      <c r="B32" s="26" t="n">
        <f aca="false">B30-B31</f>
        <v>102358.125</v>
      </c>
      <c r="C32" s="26" t="n">
        <f aca="false">C30-C31</f>
        <v>693254.78125</v>
      </c>
      <c r="D32" s="26" t="n">
        <f aca="false">D30-D31</f>
        <v>1583804.606875</v>
      </c>
    </row>
    <row r="33" customFormat="false" ht="15" hidden="false" customHeight="true" outlineLevel="0" collapsed="false">
      <c r="A33" s="21" t="s">
        <v>296</v>
      </c>
      <c r="B33" s="42" t="n">
        <f aca="false">IF(B30=0,0,B32/B30)</f>
        <v>0.824417451536096</v>
      </c>
      <c r="C33" s="42" t="n">
        <f aca="false">IF(C30=0,0,C32/C30)</f>
        <v>0.895325455863573</v>
      </c>
      <c r="D33" s="42" t="n">
        <f aca="false">IF(D30=0,0,D32/D30)</f>
        <v>0.897215459127374</v>
      </c>
      <c r="E33" s="21" t="s">
        <v>212</v>
      </c>
    </row>
    <row r="34" customFormat="false" ht="15" hidden="false" customHeight="true" outlineLevel="0" collapsed="false">
      <c r="A34" s="21" t="s">
        <v>297</v>
      </c>
      <c r="B34" s="26" t="n">
        <f aca="false">B32-B27</f>
        <v>-17426.15876721</v>
      </c>
      <c r="C34" s="26" t="n">
        <f aca="false">C32-C27</f>
        <v>402104.78125</v>
      </c>
      <c r="D34" s="26" t="n">
        <f aca="false">D32-D27</f>
        <v>1165394.606875</v>
      </c>
      <c r="E34" s="21" t="s">
        <v>298</v>
      </c>
    </row>
    <row r="35" customFormat="false" ht="15" hidden="false" customHeight="true" outlineLevel="0" collapsed="false">
      <c r="A35" s="21" t="s">
        <v>299</v>
      </c>
      <c r="B35" s="42" t="n">
        <f aca="false">IF(B30=0,0,B34/B30)</f>
        <v>-0.140354558086392</v>
      </c>
      <c r="C35" s="42" t="n">
        <f aca="false">IF(C30=0,0,C34/C30)</f>
        <v>0.519310730073062</v>
      </c>
      <c r="D35" s="42" t="n">
        <f aca="false">IF(D30=0,0,D34/D30)</f>
        <v>0.660188796479768</v>
      </c>
    </row>
    <row r="36" customFormat="false" ht="15" hidden="false" customHeight="true" outlineLevel="0" collapsed="false">
      <c r="A36" s="21" t="s">
        <v>300</v>
      </c>
      <c r="B36" s="26" t="n">
        <f aca="false">MAX(0,B34)*B37</f>
        <v>0</v>
      </c>
      <c r="C36" s="26" t="n">
        <f aca="false">MAX(0,C34)*C37</f>
        <v>10052.61953125</v>
      </c>
      <c r="D36" s="26" t="n">
        <f aca="false">MAX(0,D34)*D37</f>
        <v>29134.865171875</v>
      </c>
      <c r="E36" s="21" t="s">
        <v>301</v>
      </c>
    </row>
    <row r="37" customFormat="false" ht="15" hidden="false" customHeight="true" outlineLevel="0" collapsed="false">
      <c r="A37" s="21" t="s">
        <v>302</v>
      </c>
      <c r="B37" s="21" t="n">
        <v>0.025</v>
      </c>
      <c r="C37" s="21" t="n">
        <v>0.025</v>
      </c>
      <c r="D37" s="21" t="n">
        <v>0.025</v>
      </c>
    </row>
    <row r="38" customFormat="false" ht="15" hidden="false" customHeight="true" outlineLevel="0" collapsed="false">
      <c r="A38" s="21" t="s">
        <v>303</v>
      </c>
      <c r="B38" s="26" t="n">
        <f aca="false">B34-B36</f>
        <v>-17426.15876721</v>
      </c>
      <c r="C38" s="26" t="n">
        <f aca="false">C34-C36</f>
        <v>392052.16171875</v>
      </c>
      <c r="D38" s="26" t="n">
        <f aca="false">D34-D36</f>
        <v>1136259.74170312</v>
      </c>
    </row>
    <row r="39" customFormat="false" ht="15" hidden="false" customHeight="true" outlineLevel="0" collapsed="false">
      <c r="A39" s="21" t="s">
        <v>304</v>
      </c>
      <c r="B39" s="42" t="n">
        <f aca="false">IF(B30=0,0,B38/B30)</f>
        <v>-0.140354558086392</v>
      </c>
      <c r="C39" s="42" t="n">
        <f aca="false">IF(C30=0,0,C38/C30)</f>
        <v>0.506327961821236</v>
      </c>
      <c r="D39" s="42" t="n">
        <f aca="false">IF(D30=0,0,D38/D30)</f>
        <v>0.643684076567774</v>
      </c>
    </row>
    <row r="40" customFormat="false" ht="15" hidden="false" customHeight="true" outlineLevel="0" collapsed="false">
      <c r="A40" s="21" t="s">
        <v>305</v>
      </c>
      <c r="B40" s="26" t="n">
        <f aca="false">'التدفق الشهري'!N34</f>
        <v>174071.96623279</v>
      </c>
      <c r="C40" s="26" t="n">
        <f aca="false">C29-C31-C27-C36</f>
        <v>565663.09921875</v>
      </c>
      <c r="D40" s="26" t="n">
        <f aca="false">D29-D31-D27-D36</f>
        <v>1361638.30420313</v>
      </c>
    </row>
    <row r="41" customFormat="false" ht="15" hidden="false" customHeight="true" outlineLevel="0" collapsed="false">
      <c r="A41" s="21" t="s">
        <v>306</v>
      </c>
      <c r="B41" s="26" t="n">
        <f aca="false">B40</f>
        <v>174071.96623279</v>
      </c>
      <c r="C41" s="26" t="n">
        <f aca="false">B41+C40</f>
        <v>739735.06545154</v>
      </c>
      <c r="D41" s="26" t="n">
        <f aca="false">C41+D40</f>
        <v>2101373.36965467</v>
      </c>
      <c r="E41" s="21" t="s">
        <v>307</v>
      </c>
    </row>
    <row r="42" customFormat="false" ht="15" hidden="false" customHeight="true" outlineLevel="0" collapsed="false">
      <c r="A42" s="21" t="s">
        <v>248</v>
      </c>
      <c r="B42" s="26" t="n">
        <f aca="false">B12*B16/12</f>
        <v>26304.6875</v>
      </c>
      <c r="C42" s="26" t="n">
        <f aca="false">C12*C16/12</f>
        <v>78992.9765625</v>
      </c>
      <c r="D42" s="26" t="n">
        <f aca="false">D12*D16/12</f>
        <v>165885.25078125</v>
      </c>
    </row>
    <row r="43" customFormat="false" ht="15" hidden="false" customHeight="true" outlineLevel="0" collapsed="false">
      <c r="A43" s="21" t="s">
        <v>308</v>
      </c>
      <c r="B43" s="42" t="n">
        <f aca="false">IF(B27=0,0,B42/(B27/12))</f>
        <v>2.63520588905845</v>
      </c>
      <c r="C43" s="42" t="n">
        <f aca="false">IF(C27=0,0,C42/(C27/12))</f>
        <v>3.25576410355487</v>
      </c>
      <c r="D43" s="42" t="n">
        <f aca="false">IF(D27=0,0,D42/(D27/12))</f>
        <v>4.7575894681652</v>
      </c>
      <c r="E43" s="21" t="s">
        <v>309</v>
      </c>
    </row>
    <row r="44" customFormat="false" ht="15" hidden="false" customHeight="true" outlineLevel="0" collapsed="false">
      <c r="A44" s="21" t="s">
        <v>310</v>
      </c>
      <c r="B44" s="26" t="n">
        <f aca="false">IF(C8=0,0,(B16-B17*12)/C8)</f>
        <v>38087.5</v>
      </c>
      <c r="C44" s="26" t="n">
        <f aca="false">IF(C8=0,0,(C16-C17*12)/C8)</f>
        <v>39791.875</v>
      </c>
      <c r="D44" s="26" t="n">
        <f aca="false">IF(D8=0,0,(D16-D17*12)/D8)</f>
        <v>51951.8359375</v>
      </c>
      <c r="E44" s="21" t="s">
        <v>311</v>
      </c>
    </row>
    <row r="45" customFormat="false" ht="15" hidden="false" customHeight="true" outlineLevel="0" collapsed="false">
      <c r="A45" s="21" t="s">
        <v>312</v>
      </c>
      <c r="B45" s="42" t="n">
        <f aca="false">IF('نقطة التعادل'!B27=0,0,B44/'نقطة التعادل'!B27)</f>
        <v>33.186351296558</v>
      </c>
      <c r="C45" s="42" t="n">
        <f aca="false">IF(C46=0,0,C44/C46)</f>
        <v>36.8443287037037</v>
      </c>
      <c r="D45" s="42" t="n">
        <f aca="false">IF(D46=0,0,D44/D46)</f>
        <v>40.6270466764418</v>
      </c>
      <c r="E45" s="21" t="s">
        <v>313</v>
      </c>
    </row>
    <row r="46" customFormat="false" ht="15" hidden="false" customHeight="true" outlineLevel="0" collapsed="false">
      <c r="A46" s="21" t="s">
        <v>27</v>
      </c>
      <c r="B46" s="26" t="n">
        <f aca="false">'نقطة التعادل'!B27</f>
        <v>1147.6856753442</v>
      </c>
      <c r="C46" s="26" t="n">
        <f aca="false">(C22+C20*0.6+C21*0)/C6</f>
        <v>1080</v>
      </c>
      <c r="D46" s="26" t="n">
        <f aca="false">(D22+D20*0.6+D21*0.55)/D6</f>
        <v>1278.75</v>
      </c>
      <c r="E46" s="21" t="s">
        <v>314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50"/>
    <col collapsed="false" customWidth="true" hidden="false" outlineLevel="0" max="4" min="2" style="1" width="16"/>
    <col collapsed="false" customWidth="true" hidden="false" outlineLevel="0" max="5" min="5" style="1" width="72"/>
  </cols>
  <sheetData>
    <row r="1" customFormat="false" ht="16.5" hidden="false" customHeight="true" outlineLevel="0" collapsed="false">
      <c r="A1" s="18" t="s">
        <v>315</v>
      </c>
    </row>
    <row r="2" customFormat="false" ht="39.75" hidden="false" customHeight="true" outlineLevel="0" collapsed="false">
      <c r="A2" s="40" t="s">
        <v>316</v>
      </c>
    </row>
    <row r="4" customFormat="false" ht="15" hidden="false" customHeight="true" outlineLevel="0" collapsed="false">
      <c r="A4" s="3" t="s">
        <v>49</v>
      </c>
      <c r="B4" s="3" t="s">
        <v>253</v>
      </c>
      <c r="C4" s="3" t="s">
        <v>254</v>
      </c>
      <c r="D4" s="3" t="s">
        <v>255</v>
      </c>
      <c r="E4" s="3" t="s">
        <v>4</v>
      </c>
    </row>
    <row r="5" customFormat="false" ht="15" hidden="false" customHeight="true" outlineLevel="0" collapsed="false">
      <c r="A5" s="21" t="s">
        <v>317</v>
      </c>
      <c r="B5" s="21"/>
      <c r="C5" s="21"/>
      <c r="D5" s="21"/>
      <c r="E5" s="21"/>
    </row>
    <row r="6" customFormat="false" ht="15" hidden="false" customHeight="true" outlineLevel="0" collapsed="false">
      <c r="A6" s="6" t="s">
        <v>318</v>
      </c>
      <c r="B6" s="23"/>
      <c r="C6" s="23"/>
      <c r="D6" s="23" t="n">
        <v>5000000</v>
      </c>
      <c r="E6" s="20" t="s">
        <v>319</v>
      </c>
    </row>
    <row r="7" customFormat="false" ht="23.25" hidden="false" customHeight="true" outlineLevel="0" collapsed="false">
      <c r="A7" s="6" t="s">
        <v>257</v>
      </c>
      <c r="B7" s="24" t="n">
        <v>80</v>
      </c>
      <c r="C7" s="24" t="n">
        <v>180</v>
      </c>
      <c r="D7" s="24" t="n">
        <v>260</v>
      </c>
      <c r="E7" s="20" t="s">
        <v>320</v>
      </c>
    </row>
    <row r="8" customFormat="false" ht="15" hidden="false" customHeight="true" outlineLevel="0" collapsed="false">
      <c r="A8" s="6" t="s">
        <v>259</v>
      </c>
      <c r="B8" s="25"/>
      <c r="C8" s="25" t="n">
        <v>0.85</v>
      </c>
      <c r="D8" s="25" t="n">
        <v>0.88</v>
      </c>
      <c r="E8" s="20" t="s">
        <v>321</v>
      </c>
    </row>
    <row r="9" customFormat="false" ht="15" hidden="false" customHeight="true" outlineLevel="0" collapsed="false">
      <c r="A9" s="6" t="s">
        <v>263</v>
      </c>
      <c r="B9" s="30" t="n">
        <v>0</v>
      </c>
      <c r="C9" s="30" t="n">
        <f aca="false">B12</f>
        <v>80</v>
      </c>
      <c r="D9" s="30" t="n">
        <f aca="false">C12</f>
        <v>248</v>
      </c>
    </row>
    <row r="10" customFormat="false" ht="15" hidden="false" customHeight="true" outlineLevel="0" collapsed="false">
      <c r="A10" s="6" t="s">
        <v>264</v>
      </c>
      <c r="B10" s="30" t="n">
        <v>0</v>
      </c>
      <c r="C10" s="30" t="n">
        <f aca="false">ROUND(C9*C8,0)</f>
        <v>68</v>
      </c>
      <c r="D10" s="30" t="n">
        <f aca="false">ROUND(D9*D8,0)</f>
        <v>218</v>
      </c>
    </row>
    <row r="11" customFormat="false" ht="15" hidden="false" customHeight="true" outlineLevel="0" collapsed="false">
      <c r="A11" s="6" t="s">
        <v>265</v>
      </c>
      <c r="B11" s="30" t="n">
        <v>0</v>
      </c>
      <c r="C11" s="30" t="n">
        <f aca="false">C9-C10</f>
        <v>12</v>
      </c>
      <c r="D11" s="30" t="n">
        <f aca="false">D9-D10</f>
        <v>30</v>
      </c>
    </row>
    <row r="12" customFormat="false" ht="15" hidden="false" customHeight="true" outlineLevel="0" collapsed="false">
      <c r="A12" s="6" t="s">
        <v>266</v>
      </c>
      <c r="B12" s="30" t="n">
        <f aca="false">B9+B7</f>
        <v>80</v>
      </c>
      <c r="C12" s="30" t="n">
        <f aca="false">C10+C7</f>
        <v>248</v>
      </c>
      <c r="D12" s="30" t="n">
        <f aca="false">D10+D7</f>
        <v>478</v>
      </c>
    </row>
    <row r="13" customFormat="false" ht="23.25" hidden="false" customHeight="true" outlineLevel="0" collapsed="false">
      <c r="A13" s="6" t="s">
        <v>268</v>
      </c>
      <c r="B13" s="23" t="n">
        <v>7475</v>
      </c>
      <c r="C13" s="23" t="n">
        <v>9000</v>
      </c>
      <c r="D13" s="23" t="n">
        <v>10500</v>
      </c>
      <c r="E13" s="20" t="s">
        <v>322</v>
      </c>
    </row>
    <row r="14" customFormat="false" ht="15" hidden="false" customHeight="true" outlineLevel="0" collapsed="false">
      <c r="A14" s="6" t="s">
        <v>272</v>
      </c>
      <c r="B14" s="27" t="n">
        <f aca="false">B13/(1+الافتراضات!$B$21)-B13*الافتراضات!$B$22</f>
        <v>6313.125</v>
      </c>
      <c r="C14" s="27" t="n">
        <f aca="false">C13/(1+الافتراضات!$B$21)-C13*الافتراضات!$B$22</f>
        <v>7601.08695652174</v>
      </c>
      <c r="D14" s="27" t="n">
        <f aca="false">D13/(1+الافتراضات!$B$21)-D13*الافتراضات!$B$22</f>
        <v>8867.9347826087</v>
      </c>
    </row>
    <row r="15" customFormat="false" ht="15" hidden="false" customHeight="true" outlineLevel="0" collapsed="false">
      <c r="A15" s="21" t="s">
        <v>323</v>
      </c>
      <c r="B15" s="21"/>
      <c r="C15" s="21"/>
      <c r="D15" s="21"/>
      <c r="E15" s="21"/>
    </row>
    <row r="16" customFormat="false" ht="15" hidden="false" customHeight="true" outlineLevel="0" collapsed="false">
      <c r="A16" s="6" t="s">
        <v>324</v>
      </c>
      <c r="B16" s="23" t="n">
        <v>4000</v>
      </c>
      <c r="C16" s="23" t="n">
        <v>15000</v>
      </c>
      <c r="D16" s="23" t="n">
        <v>20000</v>
      </c>
      <c r="E16" s="20" t="s">
        <v>325</v>
      </c>
    </row>
    <row r="17" customFormat="false" ht="15" hidden="false" customHeight="true" outlineLevel="0" collapsed="false">
      <c r="A17" s="6" t="s">
        <v>326</v>
      </c>
      <c r="B17" s="43" t="n">
        <v>0.75</v>
      </c>
      <c r="C17" s="43" t="n">
        <v>2.5</v>
      </c>
      <c r="D17" s="43" t="n">
        <v>4.5</v>
      </c>
      <c r="E17" s="20" t="s">
        <v>327</v>
      </c>
    </row>
    <row r="18" customFormat="false" ht="15" hidden="false" customHeight="true" outlineLevel="0" collapsed="false">
      <c r="A18" s="6" t="s">
        <v>328</v>
      </c>
      <c r="B18" s="23" t="n">
        <v>7000</v>
      </c>
      <c r="C18" s="23" t="n">
        <v>7000</v>
      </c>
      <c r="D18" s="23" t="n">
        <v>7500</v>
      </c>
      <c r="E18" s="20" t="s">
        <v>329</v>
      </c>
    </row>
    <row r="19" customFormat="false" ht="15" hidden="false" customHeight="true" outlineLevel="0" collapsed="false">
      <c r="A19" s="6" t="s">
        <v>330</v>
      </c>
      <c r="B19" s="43" t="n">
        <v>0</v>
      </c>
      <c r="C19" s="43" t="n">
        <v>1.5</v>
      </c>
      <c r="D19" s="43" t="n">
        <v>3</v>
      </c>
      <c r="E19" s="20" t="s">
        <v>331</v>
      </c>
    </row>
    <row r="20" customFormat="false" ht="15" hidden="false" customHeight="true" outlineLevel="0" collapsed="false">
      <c r="A20" s="6" t="s">
        <v>332</v>
      </c>
      <c r="B20" s="23" t="n">
        <v>6000</v>
      </c>
      <c r="C20" s="23" t="n">
        <v>7000</v>
      </c>
      <c r="D20" s="23" t="n">
        <v>7500</v>
      </c>
    </row>
    <row r="21" customFormat="false" ht="15" hidden="false" customHeight="true" outlineLevel="0" collapsed="false">
      <c r="A21" s="6" t="s">
        <v>333</v>
      </c>
      <c r="B21" s="43" t="n">
        <v>0.33</v>
      </c>
      <c r="C21" s="43" t="n">
        <v>2.5</v>
      </c>
      <c r="D21" s="43" t="n">
        <v>4.5</v>
      </c>
      <c r="E21" s="20" t="s">
        <v>334</v>
      </c>
    </row>
    <row r="22" customFormat="false" ht="15" hidden="false" customHeight="true" outlineLevel="0" collapsed="false">
      <c r="A22" s="6" t="s">
        <v>335</v>
      </c>
      <c r="B22" s="23" t="n">
        <v>5000</v>
      </c>
      <c r="C22" s="23" t="n">
        <v>5500</v>
      </c>
      <c r="D22" s="23" t="n">
        <v>6000</v>
      </c>
    </row>
    <row r="23" customFormat="false" ht="15" hidden="false" customHeight="true" outlineLevel="0" collapsed="false">
      <c r="A23" s="6" t="s">
        <v>336</v>
      </c>
      <c r="B23" s="43" t="n">
        <v>0</v>
      </c>
      <c r="C23" s="43" t="n">
        <v>1</v>
      </c>
      <c r="D23" s="43" t="n">
        <v>2</v>
      </c>
      <c r="E23" s="20" t="s">
        <v>337</v>
      </c>
    </row>
    <row r="24" customFormat="false" ht="15" hidden="false" customHeight="true" outlineLevel="0" collapsed="false">
      <c r="A24" s="6" t="s">
        <v>338</v>
      </c>
      <c r="B24" s="23" t="n">
        <v>12000</v>
      </c>
      <c r="C24" s="23" t="n">
        <v>12000</v>
      </c>
      <c r="D24" s="23" t="n">
        <v>13000</v>
      </c>
    </row>
    <row r="25" customFormat="false" ht="15" hidden="false" customHeight="true" outlineLevel="0" collapsed="false">
      <c r="A25" s="6" t="s">
        <v>339</v>
      </c>
      <c r="B25" s="25" t="n">
        <v>0.1175</v>
      </c>
      <c r="C25" s="25" t="n">
        <v>0.1175</v>
      </c>
      <c r="D25" s="25" t="n">
        <v>0.1175</v>
      </c>
      <c r="E25" s="20" t="s">
        <v>340</v>
      </c>
    </row>
    <row r="26" customFormat="false" ht="15" hidden="false" customHeight="true" outlineLevel="0" collapsed="false">
      <c r="A26" s="6" t="s">
        <v>341</v>
      </c>
      <c r="B26" s="27" t="n">
        <f aca="false">B16*6</f>
        <v>24000</v>
      </c>
      <c r="C26" s="27" t="n">
        <f aca="false">C16*12</f>
        <v>180000</v>
      </c>
      <c r="D26" s="27" t="n">
        <f aca="false">D16*12</f>
        <v>240000</v>
      </c>
    </row>
    <row r="27" customFormat="false" ht="15" hidden="false" customHeight="true" outlineLevel="0" collapsed="false">
      <c r="A27" s="6" t="s">
        <v>342</v>
      </c>
      <c r="B27" s="27" t="n">
        <f aca="false">(B17*B18+B19*B20+B21*B22+B23*B24)*12</f>
        <v>82800</v>
      </c>
      <c r="C27" s="27" t="n">
        <f aca="false">(C17*C18+C19*C20+C21*C22+C23*C24)*12</f>
        <v>645000</v>
      </c>
      <c r="D27" s="27" t="n">
        <f aca="false">(D17*D18+D19*D20+D21*D22+D23*D24)*12</f>
        <v>1311000</v>
      </c>
    </row>
    <row r="28" customFormat="false" ht="15" hidden="false" customHeight="true" outlineLevel="0" collapsed="false">
      <c r="A28" s="6" t="s">
        <v>343</v>
      </c>
      <c r="B28" s="27" t="n">
        <f aca="false">B27*B25</f>
        <v>9729</v>
      </c>
      <c r="C28" s="27" t="n">
        <f aca="false">C27*C25</f>
        <v>75787.5</v>
      </c>
      <c r="D28" s="27" t="n">
        <f aca="false">D27*D25</f>
        <v>154042.5</v>
      </c>
    </row>
    <row r="29" customFormat="false" ht="15" hidden="false" customHeight="true" outlineLevel="0" collapsed="false">
      <c r="A29" s="6" t="s">
        <v>344</v>
      </c>
      <c r="B29" s="27" t="n">
        <f aca="false">B7*B13*0.05</f>
        <v>29900</v>
      </c>
      <c r="C29" s="27" t="n">
        <f aca="false">C7*C13*0.05</f>
        <v>81000</v>
      </c>
      <c r="D29" s="27" t="n">
        <f aca="false">D7*D13*0.05</f>
        <v>136500</v>
      </c>
    </row>
    <row r="30" customFormat="false" ht="15" hidden="false" customHeight="true" outlineLevel="0" collapsed="false">
      <c r="A30" s="6" t="s">
        <v>345</v>
      </c>
      <c r="B30" s="30" t="n">
        <f aca="false">1+ROUNDUP(B17,0)+ROUNDUP(B19,0)+ROUNDUP(B21,0)+ROUNDUP(B23,0)</f>
        <v>3</v>
      </c>
      <c r="C30" s="30" t="n">
        <f aca="false">1+3+2+3+1</f>
        <v>10</v>
      </c>
      <c r="D30" s="30" t="n">
        <f aca="false">1+5+3+5+2</f>
        <v>16</v>
      </c>
      <c r="E30" s="20" t="s">
        <v>346</v>
      </c>
    </row>
    <row r="31" customFormat="false" ht="15" hidden="false" customHeight="true" outlineLevel="0" collapsed="false">
      <c r="A31" s="21" t="s">
        <v>347</v>
      </c>
      <c r="B31" s="21"/>
      <c r="C31" s="21"/>
      <c r="D31" s="21"/>
      <c r="E31" s="21"/>
    </row>
    <row r="32" customFormat="false" ht="23.25" hidden="false" customHeight="true" outlineLevel="0" collapsed="false">
      <c r="A32" s="6" t="s">
        <v>348</v>
      </c>
      <c r="B32" s="23" t="n">
        <v>60000</v>
      </c>
      <c r="C32" s="23" t="n">
        <v>300000</v>
      </c>
      <c r="D32" s="23" t="n">
        <v>600000</v>
      </c>
      <c r="E32" s="20" t="s">
        <v>349</v>
      </c>
    </row>
    <row r="33" customFormat="false" ht="15" hidden="false" customHeight="true" outlineLevel="0" collapsed="false">
      <c r="A33" s="6" t="s">
        <v>350</v>
      </c>
      <c r="B33" s="23" t="n">
        <v>10000</v>
      </c>
      <c r="C33" s="23" t="n">
        <v>45000</v>
      </c>
      <c r="D33" s="23" t="n">
        <v>100000</v>
      </c>
      <c r="E33" s="20" t="s">
        <v>351</v>
      </c>
    </row>
    <row r="34" customFormat="false" ht="15" hidden="false" customHeight="true" outlineLevel="0" collapsed="false">
      <c r="A34" s="6" t="s">
        <v>285</v>
      </c>
      <c r="B34" s="23" t="n">
        <v>30000</v>
      </c>
      <c r="C34" s="23" t="n">
        <v>50000</v>
      </c>
      <c r="D34" s="23" t="n">
        <v>80000</v>
      </c>
    </row>
    <row r="35" customFormat="false" ht="15" hidden="false" customHeight="true" outlineLevel="0" collapsed="false">
      <c r="A35" s="6" t="s">
        <v>352</v>
      </c>
      <c r="B35" s="23" t="n">
        <v>0</v>
      </c>
      <c r="C35" s="23" t="n">
        <v>60000</v>
      </c>
      <c r="D35" s="23" t="n">
        <v>120000</v>
      </c>
      <c r="E35" s="20" t="s">
        <v>353</v>
      </c>
    </row>
    <row r="36" customFormat="false" ht="15" hidden="false" customHeight="true" outlineLevel="0" collapsed="false">
      <c r="A36" s="6" t="s">
        <v>354</v>
      </c>
      <c r="B36" s="23" t="n">
        <v>20000</v>
      </c>
      <c r="C36" s="23" t="n">
        <v>40000</v>
      </c>
      <c r="D36" s="23" t="n">
        <v>60000</v>
      </c>
      <c r="E36" s="20" t="s">
        <v>355</v>
      </c>
    </row>
    <row r="37" customFormat="false" ht="15" hidden="false" customHeight="true" outlineLevel="0" collapsed="false">
      <c r="A37" s="6" t="s">
        <v>273</v>
      </c>
      <c r="B37" s="23" t="n">
        <v>50</v>
      </c>
      <c r="C37" s="23" t="n">
        <v>55</v>
      </c>
      <c r="D37" s="23" t="n">
        <v>60</v>
      </c>
    </row>
    <row r="38" customFormat="false" ht="15" hidden="false" customHeight="true" outlineLevel="0" collapsed="false">
      <c r="A38" s="6" t="s">
        <v>356</v>
      </c>
      <c r="B38" s="23" t="n">
        <v>200</v>
      </c>
      <c r="C38" s="23" t="n">
        <v>250</v>
      </c>
      <c r="D38" s="23" t="n">
        <v>300</v>
      </c>
      <c r="E38" s="20" t="s">
        <v>357</v>
      </c>
    </row>
    <row r="39" customFormat="false" ht="15" hidden="false" customHeight="true" outlineLevel="0" collapsed="false">
      <c r="A39" s="21" t="s">
        <v>289</v>
      </c>
      <c r="B39" s="21"/>
      <c r="C39" s="21"/>
      <c r="D39" s="21"/>
      <c r="E39" s="21"/>
    </row>
    <row r="40" customFormat="false" ht="15" hidden="false" customHeight="true" outlineLevel="0" collapsed="false">
      <c r="A40" s="6" t="s">
        <v>358</v>
      </c>
      <c r="B40" s="27" t="n">
        <f aca="false">(B7+B10)*B13</f>
        <v>598000</v>
      </c>
      <c r="C40" s="27" t="n">
        <f aca="false">(C7+C10)*C13</f>
        <v>2232000</v>
      </c>
      <c r="D40" s="27" t="n">
        <f aca="false">(D7+D10)*D13</f>
        <v>5019000</v>
      </c>
      <c r="E40" s="20" t="s">
        <v>359</v>
      </c>
    </row>
    <row r="41" customFormat="false" ht="15" hidden="false" customHeight="true" outlineLevel="0" collapsed="false">
      <c r="A41" s="6" t="s">
        <v>360</v>
      </c>
      <c r="B41" s="26"/>
      <c r="C41" s="26"/>
      <c r="D41" s="26" t="n">
        <f aca="false">IF(D6=0,0,D40/D6)</f>
        <v>1.0038</v>
      </c>
    </row>
    <row r="42" customFormat="false" ht="15" hidden="false" customHeight="true" outlineLevel="0" collapsed="false">
      <c r="A42" s="6" t="s">
        <v>361</v>
      </c>
      <c r="B42" s="27" t="n">
        <f aca="false">(B7+B10)*B14</f>
        <v>505050</v>
      </c>
      <c r="C42" s="27" t="n">
        <f aca="false">(C7+C10)*C14</f>
        <v>1885069.56521739</v>
      </c>
      <c r="D42" s="27" t="n">
        <f aca="false">(D7+D10)*D14</f>
        <v>4238872.82608696</v>
      </c>
    </row>
    <row r="43" customFormat="false" ht="15" hidden="false" customHeight="true" outlineLevel="0" collapsed="false">
      <c r="A43" s="6" t="s">
        <v>291</v>
      </c>
      <c r="B43" s="27" t="n">
        <f aca="false">B7*B14/2</f>
        <v>252525</v>
      </c>
      <c r="C43" s="27" t="n">
        <f aca="false">C10*C14+C7*C14/2+B7*B14/2</f>
        <v>1453496.73913043</v>
      </c>
      <c r="D43" s="27" t="n">
        <f aca="false">D10*D14+D7*D14/2+C7*C14/2</f>
        <v>3770139.13043478</v>
      </c>
      <c r="E43" s="20" t="s">
        <v>362</v>
      </c>
    </row>
    <row r="44" customFormat="false" ht="15" hidden="false" customHeight="true" outlineLevel="0" collapsed="false">
      <c r="A44" s="6" t="s">
        <v>293</v>
      </c>
      <c r="B44" s="27" t="n">
        <f aca="false">(B7/2)*B37*12+B7*B38</f>
        <v>40000</v>
      </c>
      <c r="C44" s="27" t="n">
        <f aca="false">(C10+C7/2)*C37*12+C7*C38</f>
        <v>149280</v>
      </c>
      <c r="D44" s="27" t="n">
        <f aca="false">(D10+D7/2)*D37*12+D7*D38</f>
        <v>328560</v>
      </c>
    </row>
    <row r="45" customFormat="false" ht="15" hidden="false" customHeight="true" outlineLevel="0" collapsed="false">
      <c r="A45" s="6" t="s">
        <v>363</v>
      </c>
      <c r="B45" s="27" t="n">
        <f aca="false">B43-B44</f>
        <v>212525</v>
      </c>
      <c r="C45" s="27" t="n">
        <f aca="false">C43-C44</f>
        <v>1304216.73913043</v>
      </c>
      <c r="D45" s="27" t="n">
        <f aca="false">D43-D44</f>
        <v>3441579.13043478</v>
      </c>
    </row>
    <row r="46" customFormat="false" ht="15" hidden="false" customHeight="true" outlineLevel="0" collapsed="false">
      <c r="A46" s="6" t="s">
        <v>296</v>
      </c>
      <c r="B46" s="26" t="n">
        <f aca="false">IF(B43=0,0,B45/B43)</f>
        <v>0.841599841599842</v>
      </c>
      <c r="C46" s="26" t="n">
        <f aca="false">IF(C43=0,0,C45/C43)</f>
        <v>0.89729595121809</v>
      </c>
      <c r="D46" s="26" t="n">
        <f aca="false">IF(D43=0,0,D45/D43)</f>
        <v>0.912852022529442</v>
      </c>
    </row>
    <row r="47" customFormat="false" ht="15" hidden="false" customHeight="true" outlineLevel="0" collapsed="false">
      <c r="A47" s="6" t="s">
        <v>364</v>
      </c>
      <c r="B47" s="27" t="n">
        <f aca="false">B26+B27+B28+B29</f>
        <v>146429</v>
      </c>
      <c r="C47" s="27" t="n">
        <f aca="false">C26+C27+C28+C29</f>
        <v>981787.5</v>
      </c>
      <c r="D47" s="27" t="n">
        <f aca="false">D26+D27+D28+D29</f>
        <v>1841542.5</v>
      </c>
    </row>
    <row r="48" customFormat="false" ht="15" hidden="false" customHeight="true" outlineLevel="0" collapsed="false">
      <c r="A48" s="6" t="s">
        <v>365</v>
      </c>
      <c r="B48" s="27" t="n">
        <f aca="false">B47+SUM(B32:B36)</f>
        <v>266429</v>
      </c>
      <c r="C48" s="27" t="n">
        <f aca="false">C47+SUM(C32:C36)</f>
        <v>1476787.5</v>
      </c>
      <c r="D48" s="27" t="n">
        <f aca="false">D47+SUM(D32:D36)</f>
        <v>2801542.5</v>
      </c>
    </row>
    <row r="49" customFormat="false" ht="15" hidden="false" customHeight="true" outlineLevel="0" collapsed="false">
      <c r="A49" s="6" t="s">
        <v>366</v>
      </c>
      <c r="B49" s="27" t="n">
        <f aca="false">B45-B48</f>
        <v>-53904</v>
      </c>
      <c r="C49" s="27" t="n">
        <f aca="false">C45-C48</f>
        <v>-172570.760869565</v>
      </c>
      <c r="D49" s="27" t="n">
        <f aca="false">D45-D48</f>
        <v>640036.630434783</v>
      </c>
    </row>
    <row r="50" customFormat="false" ht="15" hidden="false" customHeight="true" outlineLevel="0" collapsed="false">
      <c r="A50" s="6" t="s">
        <v>299</v>
      </c>
      <c r="B50" s="26" t="n">
        <f aca="false">IF(B43=0,0,B49/B43)</f>
        <v>-0.213460053460053</v>
      </c>
      <c r="C50" s="26" t="n">
        <f aca="false">IF(C43=0,0,C49/C43)</f>
        <v>-0.118728000017948</v>
      </c>
      <c r="D50" s="26" t="n">
        <f aca="false">IF(D43=0,0,D49/D43)</f>
        <v>0.169764724401821</v>
      </c>
    </row>
    <row r="51" customFormat="false" ht="15" hidden="false" customHeight="true" outlineLevel="0" collapsed="false">
      <c r="A51" s="6" t="s">
        <v>305</v>
      </c>
      <c r="B51" s="27" t="n">
        <f aca="false">B42-B44-B48</f>
        <v>198621</v>
      </c>
      <c r="C51" s="27" t="n">
        <f aca="false">C42-C44-C48</f>
        <v>259002.065217392</v>
      </c>
      <c r="D51" s="27" t="n">
        <f aca="false">D42-D44-D48</f>
        <v>1108770.32608696</v>
      </c>
      <c r="E51" s="20" t="s">
        <v>367</v>
      </c>
    </row>
    <row r="52" customFormat="false" ht="15" hidden="false" customHeight="true" outlineLevel="0" collapsed="false">
      <c r="A52" s="6" t="s">
        <v>306</v>
      </c>
      <c r="B52" s="27" t="n">
        <f aca="false">B51</f>
        <v>198621</v>
      </c>
      <c r="C52" s="27" t="n">
        <f aca="false">B51+C51</f>
        <v>457623.065217392</v>
      </c>
      <c r="D52" s="27" t="n">
        <f aca="false">C51+D51</f>
        <v>1367772.39130435</v>
      </c>
    </row>
    <row r="53" customFormat="false" ht="15" hidden="false" customHeight="true" outlineLevel="0" collapsed="false">
      <c r="A53" s="6" t="s">
        <v>368</v>
      </c>
      <c r="B53" s="27" t="n">
        <f aca="false">MIN(0,B51)-B48/6</f>
        <v>-44404.8333333333</v>
      </c>
      <c r="C53" s="27" t="n">
        <f aca="false">MIN(0,B52)-C48/6</f>
        <v>-246131.25</v>
      </c>
      <c r="D53" s="27" t="n">
        <f aca="false">MIN(0,C52)-D48/6</f>
        <v>-466923.75</v>
      </c>
      <c r="E53" s="20" t="s">
        <v>369</v>
      </c>
    </row>
    <row r="54" customFormat="false" ht="15" hidden="false" customHeight="true" outlineLevel="0" collapsed="false">
      <c r="A54" s="6" t="s">
        <v>248</v>
      </c>
      <c r="B54" s="27" t="n">
        <f aca="false">B12*B14/12</f>
        <v>42087.5</v>
      </c>
      <c r="C54" s="27" t="n">
        <f aca="false">C12*C14/12</f>
        <v>157089.130434783</v>
      </c>
      <c r="D54" s="27" t="n">
        <f aca="false">D12*D14/12</f>
        <v>353239.402173913</v>
      </c>
    </row>
    <row r="55" customFormat="false" ht="15" hidden="false" customHeight="true" outlineLevel="0" collapsed="false">
      <c r="A55" s="6" t="s">
        <v>27</v>
      </c>
      <c r="B55" s="27" t="n">
        <f aca="false">(B32+B17*B18*12*(1+B25)+B19*B20*12*(1+B25)+B29)/B7</f>
        <v>2003.78125</v>
      </c>
      <c r="C55" s="27" t="n">
        <f aca="false">(C32+C17*C18*12*(1+C25)+C19*C20*12*(1+C25)+C29)/C7</f>
        <v>4202.66666666667</v>
      </c>
      <c r="D55" s="27" t="n">
        <f aca="false">(D32+D17*D18*12*(1+D25)+D19*D20*12*(1+D25)+D29)/D7</f>
        <v>5733.89423076923</v>
      </c>
      <c r="E55" s="20" t="s">
        <v>370</v>
      </c>
    </row>
    <row r="56" customFormat="false" ht="15" hidden="false" customHeight="true" outlineLevel="0" collapsed="false">
      <c r="A56" s="6" t="s">
        <v>28</v>
      </c>
      <c r="B56" s="43" t="n">
        <f aca="false">IF(B14=0,0,B55/((B14-B37*12)/12))</f>
        <v>4.20879553659337</v>
      </c>
      <c r="C56" s="43" t="n">
        <f aca="false">IF(C14=0,0,C55/((C14-C37*12)/12))</f>
        <v>7.26572081806508</v>
      </c>
      <c r="D56" s="43" t="n">
        <f aca="false">IF(D14=0,0,D55/((D14-D37*12)/12))</f>
        <v>8.44468354313474</v>
      </c>
      <c r="E56" s="20" t="s">
        <v>29</v>
      </c>
    </row>
    <row r="57" customFormat="false" ht="15" hidden="false" customHeight="true" outlineLevel="0" collapsed="false">
      <c r="A57" s="6" t="s">
        <v>371</v>
      </c>
      <c r="B57" s="43" t="n">
        <f aca="false">IF(B55=0,0,((B14-B37*12)/0.15)/B55)</f>
        <v>19.0078133528797</v>
      </c>
      <c r="C57" s="43" t="n">
        <f aca="false">IF(C55=0,0,((C14-C37*12)/(1-C8))/C55)</f>
        <v>11.0106074817921</v>
      </c>
      <c r="D57" s="43" t="n">
        <f aca="false">IF(D55=0,0,((D14-D37*12)/(1-D8))/D55)</f>
        <v>11.8417699715103</v>
      </c>
      <c r="E57" s="20" t="s">
        <v>313</v>
      </c>
    </row>
    <row r="58" customFormat="false" ht="15" hidden="false" customHeight="true" outlineLevel="0" collapsed="false">
      <c r="A58" s="6" t="s">
        <v>372</v>
      </c>
      <c r="B58" s="43" t="n">
        <f aca="false">B7/12</f>
        <v>6.66666666666667</v>
      </c>
      <c r="C58" s="43" t="n">
        <f aca="false">C7/12</f>
        <v>15</v>
      </c>
      <c r="D58" s="43" t="n">
        <f aca="false">D7/12</f>
        <v>21.6666666666667</v>
      </c>
    </row>
    <row r="59" customFormat="false" ht="15" hidden="false" customHeight="true" outlineLevel="0" collapsed="false">
      <c r="A59" s="6" t="s">
        <v>373</v>
      </c>
      <c r="B59" s="43" t="n">
        <f aca="false">B58/0.25</f>
        <v>26.6666666666667</v>
      </c>
      <c r="C59" s="43" t="n">
        <f aca="false">C58/0.25</f>
        <v>60</v>
      </c>
      <c r="D59" s="43" t="n">
        <f aca="false">D58/0.25</f>
        <v>86.6666666666667</v>
      </c>
      <c r="E59" s="20" t="s">
        <v>374</v>
      </c>
    </row>
    <row r="60" customFormat="false" ht="15" hidden="false" customHeight="true" outlineLevel="0" collapsed="false">
      <c r="A60" s="6" t="s">
        <v>375</v>
      </c>
      <c r="B60" s="43" t="n">
        <f aca="false">B59/0.4</f>
        <v>66.6666666666667</v>
      </c>
      <c r="C60" s="43" t="n">
        <f aca="false">C59/0.4</f>
        <v>150</v>
      </c>
      <c r="D60" s="43" t="n">
        <f aca="false">D59/0.4</f>
        <v>216.666666666667</v>
      </c>
      <c r="E60" s="20" t="s">
        <v>376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10" min="2" style="0" width="14"/>
  </cols>
  <sheetData>
    <row r="1" customFormat="false" ht="17.15" hidden="false" customHeight="false" outlineLevel="0" collapsed="false">
      <c r="A1" s="18" t="s">
        <v>377</v>
      </c>
    </row>
    <row r="2" customFormat="false" ht="43.5" hidden="false" customHeight="true" outlineLevel="0" collapsed="false">
      <c r="A2" s="44" t="s">
        <v>378</v>
      </c>
    </row>
    <row r="4" customFormat="false" ht="15" hidden="false" customHeight="false" outlineLevel="0" collapsed="false">
      <c r="A4" s="21" t="s">
        <v>379</v>
      </c>
      <c r="B4" s="21"/>
      <c r="C4" s="21"/>
      <c r="D4" s="21"/>
      <c r="E4" s="21"/>
      <c r="F4" s="21"/>
      <c r="G4" s="21"/>
      <c r="H4" s="21"/>
      <c r="I4" s="21"/>
      <c r="J4" s="21"/>
    </row>
    <row r="5" customFormat="false" ht="15" hidden="false" customHeight="false" outlineLevel="0" collapsed="false">
      <c r="A5" s="6" t="s">
        <v>268</v>
      </c>
      <c r="B5" s="7" t="n">
        <f aca="false">الافتراضات!$B$37</f>
        <v>7475</v>
      </c>
    </row>
    <row r="6" customFormat="false" ht="15" hidden="false" customHeight="false" outlineLevel="0" collapsed="false">
      <c r="A6" s="6" t="s">
        <v>80</v>
      </c>
      <c r="B6" s="9" t="n">
        <f aca="false">الافتراضات!$B$21</f>
        <v>0.15</v>
      </c>
    </row>
    <row r="7" customFormat="false" ht="15" hidden="false" customHeight="false" outlineLevel="0" collapsed="false">
      <c r="A7" s="6" t="s">
        <v>380</v>
      </c>
      <c r="B7" s="9" t="n">
        <f aca="false">الافتراضات!$B$22</f>
        <v>0.025</v>
      </c>
    </row>
    <row r="8" customFormat="false" ht="15" hidden="false" customHeight="false" outlineLevel="0" collapsed="false">
      <c r="A8" s="6" t="s">
        <v>381</v>
      </c>
      <c r="B8" s="45" t="n">
        <f aca="false">الافتراضات!$B$68</f>
        <v>50</v>
      </c>
    </row>
    <row r="9" customFormat="false" ht="15" hidden="false" customHeight="false" outlineLevel="0" collapsed="false">
      <c r="A9" s="6" t="s">
        <v>382</v>
      </c>
      <c r="B9" s="7" t="n">
        <f aca="false">'التدفق الشهري'!N24</f>
        <v>119784.28376721</v>
      </c>
    </row>
    <row r="10" customFormat="false" ht="15" hidden="false" customHeight="false" outlineLevel="0" collapsed="false">
      <c r="A10" s="6" t="s">
        <v>383</v>
      </c>
      <c r="B10" s="7" t="n">
        <f aca="false">الافتراضات!$B$44</f>
        <v>50</v>
      </c>
    </row>
    <row r="11" customFormat="false" ht="15" hidden="false" customHeight="false" outlineLevel="0" collapsed="false">
      <c r="A11" s="6" t="s">
        <v>384</v>
      </c>
      <c r="B11" s="7" t="n">
        <f aca="false">الافتراضات!$B$45</f>
        <v>200</v>
      </c>
    </row>
    <row r="12" customFormat="false" ht="15" hidden="false" customHeight="false" outlineLevel="0" collapsed="false">
      <c r="A12" s="6" t="s">
        <v>385</v>
      </c>
      <c r="B12" s="9" t="n">
        <f aca="false">'ثلاث سنوات'!C7</f>
        <v>0.85</v>
      </c>
    </row>
    <row r="13" customFormat="false" ht="15" hidden="false" customHeight="false" outlineLevel="0" collapsed="false">
      <c r="A13" s="6" t="s">
        <v>386</v>
      </c>
      <c r="B13" s="45" t="n">
        <f aca="false">'ثلاث سنوات'!C6</f>
        <v>100</v>
      </c>
    </row>
    <row r="14" customFormat="false" ht="15" hidden="false" customHeight="false" outlineLevel="0" collapsed="false">
      <c r="A14" s="6" t="s">
        <v>387</v>
      </c>
      <c r="B14" s="9" t="n">
        <f aca="false">'ثلاث سنوات'!C15</f>
        <v>0.05</v>
      </c>
    </row>
    <row r="15" customFormat="false" ht="15" hidden="false" customHeight="false" outlineLevel="0" collapsed="false">
      <c r="A15" s="6" t="s">
        <v>388</v>
      </c>
      <c r="B15" s="7" t="n">
        <f aca="false">'ثلاث سنوات'!C27</f>
        <v>291150</v>
      </c>
    </row>
    <row r="16" customFormat="false" ht="15" hidden="false" customHeight="false" outlineLevel="0" collapsed="false">
      <c r="A16" s="6" t="s">
        <v>389</v>
      </c>
      <c r="B16" s="7" t="n">
        <f aca="false">'ثلاث سنوات'!C17</f>
        <v>55</v>
      </c>
    </row>
    <row r="18" customFormat="false" ht="15" hidden="false" customHeight="false" outlineLevel="0" collapsed="false">
      <c r="A18" s="21" t="s">
        <v>390</v>
      </c>
      <c r="B18" s="21"/>
      <c r="C18" s="21"/>
      <c r="D18" s="21"/>
      <c r="E18" s="21"/>
      <c r="F18" s="21"/>
      <c r="G18" s="21"/>
      <c r="H18" s="21"/>
      <c r="I18" s="21"/>
      <c r="J18" s="21"/>
    </row>
    <row r="19" customFormat="false" ht="15" hidden="false" customHeight="false" outlineLevel="0" collapsed="false">
      <c r="A19" s="3" t="s">
        <v>391</v>
      </c>
      <c r="B19" s="3" t="s">
        <v>392</v>
      </c>
      <c r="C19" s="3" t="s">
        <v>393</v>
      </c>
      <c r="D19" s="3" t="s">
        <v>394</v>
      </c>
      <c r="E19" s="3" t="s">
        <v>395</v>
      </c>
      <c r="F19" s="3" t="s">
        <v>2</v>
      </c>
    </row>
    <row r="20" customFormat="false" ht="15" hidden="false" customHeight="false" outlineLevel="0" collapsed="false">
      <c r="A20" s="6" t="s">
        <v>396</v>
      </c>
      <c r="B20" s="27" t="n">
        <f aca="false">$B$8*(($B$5*0.8)/(1+$B$6)-($B$5*0.8)*$B$7)-$B$8*($B$10*6+$B$11)-$B$9</f>
        <v>107740.71623279</v>
      </c>
      <c r="C20" s="27" t="n">
        <f aca="false">$B$8*(($B$5*1)/(1+$B$6)-($B$5*1)*$B$7)-$B$8*($B$10*6+$B$11)-$B$9</f>
        <v>170871.96623279</v>
      </c>
      <c r="D20" s="27" t="n">
        <f aca="false">$B$8*(($B$5*1.2)/(1+$B$6)-($B$5*1.2)*$B$7)-$B$8*($B$10*6+$B$11)-$B$9</f>
        <v>234003.21623279</v>
      </c>
      <c r="E20" s="27" t="n">
        <f aca="false">ABS(D20-B20)</f>
        <v>126262.5</v>
      </c>
      <c r="F20" s="20" t="s">
        <v>397</v>
      </c>
    </row>
    <row r="21" customFormat="false" ht="15" hidden="false" customHeight="false" outlineLevel="0" collapsed="false">
      <c r="A21" s="6" t="s">
        <v>398</v>
      </c>
      <c r="B21" s="27" t="n">
        <f aca="false">($B$8*0.8)*($B$5/(1+$B$6)-$B$5*$B$7)-($B$8*0.8)*($B$10*6+$B$11)-$B$9</f>
        <v>112740.71623279</v>
      </c>
      <c r="C21" s="27" t="n">
        <f aca="false">($B$8*1)*($B$5/(1+$B$6)-$B$5*$B$7)-($B$8*1)*($B$10*6+$B$11)-$B$9</f>
        <v>170871.96623279</v>
      </c>
      <c r="D21" s="27" t="n">
        <f aca="false">($B$8*1.2)*($B$5/(1+$B$6)-$B$5*$B$7)-($B$8*1.2)*($B$10*6+$B$11)-$B$9</f>
        <v>229003.21623279</v>
      </c>
      <c r="E21" s="27" t="n">
        <f aca="false">ABS(D21-B21)</f>
        <v>116262.5</v>
      </c>
      <c r="F21" s="20" t="s">
        <v>397</v>
      </c>
    </row>
    <row r="22" customFormat="false" ht="15" hidden="false" customHeight="false" outlineLevel="0" collapsed="false">
      <c r="A22" s="6" t="s">
        <v>399</v>
      </c>
      <c r="B22" s="27" t="n">
        <f aca="false">$B$8*($B$5/(1+$B$6)-$B$5*$B$7)-$B$8*($B$10*6+$B$11)-($B$9*0.8)</f>
        <v>194828.822986232</v>
      </c>
      <c r="C22" s="27" t="n">
        <f aca="false">$B$8*($B$5/(1+$B$6)-$B$5*$B$7)-$B$8*($B$10*6+$B$11)-($B$9*1)</f>
        <v>170871.96623279</v>
      </c>
      <c r="D22" s="27" t="n">
        <f aca="false">$B$8*($B$5/(1+$B$6)-$B$5*$B$7)-$B$8*($B$10*6+$B$11)-($B$9*1.2)</f>
        <v>146915.109479348</v>
      </c>
      <c r="E22" s="27" t="n">
        <f aca="false">ABS(D22-B22)</f>
        <v>47913.713506884</v>
      </c>
      <c r="F22" s="20" t="s">
        <v>397</v>
      </c>
    </row>
    <row r="23" customFormat="false" ht="15" hidden="false" customHeight="false" outlineLevel="0" collapsed="false">
      <c r="A23" s="6" t="s">
        <v>400</v>
      </c>
      <c r="B23" s="27" t="n">
        <f aca="false">$B$8*($B$5/(1+$B$6)-$B$5*$B$7)-$B$8*(($B$10*0.8)*6+$B$11)-$B$9</f>
        <v>173871.96623279</v>
      </c>
      <c r="C23" s="27" t="n">
        <f aca="false">$B$8*($B$5/(1+$B$6)-$B$5*$B$7)-$B$8*(($B$10*1)*6+$B$11)-$B$9</f>
        <v>170871.96623279</v>
      </c>
      <c r="D23" s="27" t="n">
        <f aca="false">$B$8*($B$5/(1+$B$6)-$B$5*$B$7)-$B$8*(($B$10*1.2)*6+$B$11)-$B$9</f>
        <v>167871.96623279</v>
      </c>
      <c r="E23" s="27" t="n">
        <f aca="false">ABS(D23-B23)</f>
        <v>6000</v>
      </c>
      <c r="F23" s="20" t="s">
        <v>397</v>
      </c>
    </row>
    <row r="24" customFormat="false" ht="15" hidden="false" customHeight="false" outlineLevel="0" collapsed="false">
      <c r="A24" s="6" t="s">
        <v>401</v>
      </c>
      <c r="B24" s="46" t="n">
        <f aca="false">IF(((($B$5*0.8)/(1+$B$6)-($B$5*0.8)*$B$7)-$B$10*12-$B$11)&lt;=0,0,ROUNDUP($B$9/((($B$5*0.8)/(1+$B$6)-($B$5*0.8)*$B$7)-$B$10*12-$B$11),0))</f>
        <v>29</v>
      </c>
      <c r="C24" s="46" t="n">
        <f aca="false">IF(((($B$5*1)/(1+$B$6)-($B$5*1)*$B$7)-$B$10*12-$B$11)&lt;=0,0,ROUNDUP($B$9/((($B$5*1)/(1+$B$6)-($B$5*1)*$B$7)-$B$10*12-$B$11),0))</f>
        <v>22</v>
      </c>
      <c r="D24" s="46" t="n">
        <f aca="false">IF(((($B$5*1.2)/(1+$B$6)-($B$5*1.2)*$B$7)-$B$10*12-$B$11)&lt;=0,0,ROUNDUP($B$9/((($B$5*1.2)/(1+$B$6)-($B$5*1.2)*$B$7)-$B$10*12-$B$11),0))</f>
        <v>18</v>
      </c>
      <c r="E24" s="46" t="n">
        <f aca="false">ABS(D24-B24)</f>
        <v>11</v>
      </c>
      <c r="F24" s="20" t="s">
        <v>402</v>
      </c>
    </row>
    <row r="25" customFormat="false" ht="15" hidden="false" customHeight="false" outlineLevel="0" collapsed="false">
      <c r="A25" s="6" t="s">
        <v>403</v>
      </c>
      <c r="B25" s="46" t="n">
        <f aca="false">IF((($B$5/(1+$B$6)-$B$5*$B$7)-$B$10*12-$B$11)&lt;=0,0,ROUNDUP(($B$9*0.8)/(($B$5/(1+$B$6)-$B$5*$B$7)-$B$10*12-$B$11),0))</f>
        <v>18</v>
      </c>
      <c r="C25" s="46" t="n">
        <f aca="false">IF((($B$5/(1+$B$6)-$B$5*$B$7)-$B$10*12-$B$11)&lt;=0,0,ROUNDUP(($B$9*1)/(($B$5/(1+$B$6)-$B$5*$B$7)-$B$10*12-$B$11),0))</f>
        <v>22</v>
      </c>
      <c r="D25" s="46" t="n">
        <f aca="false">IF((($B$5/(1+$B$6)-$B$5*$B$7)-$B$10*12-$B$11)&lt;=0,0,ROUNDUP(($B$9*1.2)/(($B$5/(1+$B$6)-$B$5*$B$7)-$B$10*12-$B$11),0))</f>
        <v>27</v>
      </c>
      <c r="E25" s="46" t="n">
        <f aca="false">ABS(D25-B25)</f>
        <v>9</v>
      </c>
      <c r="F25" s="20" t="s">
        <v>402</v>
      </c>
    </row>
    <row r="26" customFormat="false" ht="15" hidden="false" customHeight="false" outlineLevel="0" collapsed="false">
      <c r="A26" s="6" t="s">
        <v>404</v>
      </c>
      <c r="B26" s="27" t="n">
        <f aca="false">ROUND($B$8*MIN(1,$B$12*0.8),0)*(($B$5*(1+$B$14))/(1+$B$6)-($B$5*(1+$B$14))*$B$7)+$B$13*(($B$5*(1+$B$14))/(1+$B$6)-($B$5*(1+$B$14))*$B$7)/2+$B$8*($B$5/(1+$B$6)-$B$5*$B$7)/2-(ROUND($B$8*MIN(1,$B$12*0.8),0)+$B$13/2)*$B$16*12-$B$13*$B$11-$B$15</f>
        <v>348055.75</v>
      </c>
      <c r="C26" s="27" t="n">
        <f aca="false">ROUND($B$8*MIN(1,$B$12*1),0)*(($B$5*(1+$B$14))/(1+$B$6)-($B$5*(1+$B$14))*$B$7)+$B$13*(($B$5*(1+$B$14))/(1+$B$6)-($B$5*(1+$B$14))*$B$7)/2+$B$8*($B$5/(1+$B$6)-$B$5*$B$7)/2-(ROUND($B$8*MIN(1,$B$12*1),0)+$B$13/2)*$B$16*12-$B$13*$B$11-$B$15</f>
        <v>401774.78125</v>
      </c>
      <c r="D26" s="27" t="n">
        <f aca="false">ROUND($B$8*MIN(1,$B$12*1.2),0)*(($B$5*(1+$B$14))/(1+$B$6)-($B$5*(1+$B$14))*$B$7)+$B$13*(($B$5*(1+$B$14))/(1+$B$6)-($B$5*(1+$B$14))*$B$7)/2+$B$8*($B$5/(1+$B$6)-$B$5*$B$7)/2-(ROUND($B$8*MIN(1,$B$12*1.2),0)+$B$13/2)*$B$16*12-$B$13*$B$11-$B$15</f>
        <v>443556.25</v>
      </c>
      <c r="E26" s="27" t="n">
        <f aca="false">ABS(D26-B26)</f>
        <v>95500.5</v>
      </c>
      <c r="F26" s="20" t="s">
        <v>405</v>
      </c>
    </row>
    <row r="27" customFormat="false" ht="15" hidden="false" customHeight="false" outlineLevel="0" collapsed="false">
      <c r="A27" s="6" t="s">
        <v>406</v>
      </c>
      <c r="B27" s="27" t="n">
        <f aca="false">ROUND($B$8*$B$12,0)*(($B$5*(1+$B$14))/(1+$B$6)-($B$5*(1+$B$14))*$B$7)+($B$13*0.8)*(($B$5*(1+$B$14))/(1+$B$6)-($B$5*(1+$B$14))*$B$7)/2+$B$8*($B$5/(1+$B$6)-$B$5*$B$7)/2-(ROUND($B$8*$B$12,0)+($B$13*0.8)/2)*$B$16*12-($B$13*0.8)*$B$11-$B$15</f>
        <v>346086.96875</v>
      </c>
      <c r="C27" s="27" t="n">
        <f aca="false">ROUND($B$8*$B$12,0)*(($B$5*(1+$B$14))/(1+$B$6)-($B$5*(1+$B$14))*$B$7)+($B$13*1)*(($B$5*(1+$B$14))/(1+$B$6)-($B$5*(1+$B$14))*$B$7)/2+$B$8*($B$5/(1+$B$6)-$B$5*$B$7)/2-(ROUND($B$8*$B$12,0)+($B$13*1)/2)*$B$16*12-($B$13*1)*$B$11-$B$15</f>
        <v>401774.78125</v>
      </c>
      <c r="D27" s="27" t="n">
        <f aca="false">ROUND($B$8*$B$12,0)*(($B$5*(1+$B$14))/(1+$B$6)-($B$5*(1+$B$14))*$B$7)+($B$13*1.2)*(($B$5*(1+$B$14))/(1+$B$6)-($B$5*(1+$B$14))*$B$7)/2+$B$8*($B$5/(1+$B$6)-$B$5*$B$7)/2-(ROUND($B$8*$B$12,0)+($B$13*1.2)/2)*$B$16*12-($B$13*1.2)*$B$11-$B$15</f>
        <v>457462.59375</v>
      </c>
      <c r="E27" s="27" t="n">
        <f aca="false">ABS(D27-B27)</f>
        <v>111375.625</v>
      </c>
      <c r="F27" s="20" t="s">
        <v>405</v>
      </c>
    </row>
    <row r="28" customFormat="false" ht="15" hidden="false" customHeight="false" outlineLevel="0" collapsed="false">
      <c r="A28" s="6" t="s">
        <v>407</v>
      </c>
      <c r="B28" s="27" t="n">
        <f aca="false">ROUND($B$8*$B$12,0)*((($B$5*0.8)*(1+$B$14))/(1+$B$6)-(($B$5*0.8)*(1+$B$14))*$B$7)+$B$13*((($B$5*0.8)*(1+$B$14))/(1+$B$6)-(($B$5*0.8)*(1+$B$14))*$B$7)/2+$B$8*(($B$5*0.8)/(1+$B$6)-($B$5*0.8)*$B$7)/2-(ROUND($B$8*$B$12,0)+$B$13/2)*$B$16*12-$B$13*$B$11-$B$15</f>
        <v>246913.825</v>
      </c>
      <c r="C28" s="27" t="n">
        <f aca="false">ROUND($B$8*$B$12,0)*((($B$5*1)*(1+$B$14))/(1+$B$6)-(($B$5*1)*(1+$B$14))*$B$7)+$B$13*((($B$5*1)*(1+$B$14))/(1+$B$6)-(($B$5*1)*(1+$B$14))*$B$7)/2+$B$8*(($B$5*1)/(1+$B$6)-($B$5*1)*$B$7)/2-(ROUND($B$8*$B$12,0)+$B$13/2)*$B$16*12-$B$13*$B$11-$B$15</f>
        <v>401774.78125</v>
      </c>
      <c r="D28" s="27" t="n">
        <f aca="false">ROUND($B$8*$B$12,0)*((($B$5*1.2)*(1+$B$14))/(1+$B$6)-(($B$5*1.2)*(1+$B$14))*$B$7)+$B$13*((($B$5*1.2)*(1+$B$14))/(1+$B$6)-(($B$5*1.2)*(1+$B$14))*$B$7)/2+$B$8*(($B$5*1.2)/(1+$B$6)-($B$5*1.2)*$B$7)/2-(ROUND($B$8*$B$12,0)+$B$13/2)*$B$16*12-$B$13*$B$11-$B$15</f>
        <v>556635.7375</v>
      </c>
      <c r="E28" s="27" t="n">
        <f aca="false">ABS(D28-B28)</f>
        <v>309721.9125</v>
      </c>
      <c r="F28" s="20" t="s">
        <v>405</v>
      </c>
    </row>
    <row r="29" customFormat="false" ht="15" hidden="false" customHeight="false" outlineLevel="0" collapsed="false">
      <c r="A29" s="6" t="s">
        <v>408</v>
      </c>
      <c r="B29" s="27" t="n">
        <f aca="false">ROUND($B$8*$B$12,0)*(($B$5*(1+$B$14))/(1+$B$6)-($B$5*(1+$B$14))*$B$7)+$B$13*(($B$5*(1+$B$14))/(1+$B$6)-($B$5*(1+$B$14))*$B$7)/2+$B$8*($B$5/(1+$B$6)-$B$5*$B$7)/2-(ROUND($B$8*$B$12,0)+$B$13/2)*$B$16*12-$B$13*$B$11-($B$15*0.8)</f>
        <v>460004.78125</v>
      </c>
      <c r="C29" s="27" t="n">
        <f aca="false">ROUND($B$8*$B$12,0)*(($B$5*(1+$B$14))/(1+$B$6)-($B$5*(1+$B$14))*$B$7)+$B$13*(($B$5*(1+$B$14))/(1+$B$6)-($B$5*(1+$B$14))*$B$7)/2+$B$8*($B$5/(1+$B$6)-$B$5*$B$7)/2-(ROUND($B$8*$B$12,0)+$B$13/2)*$B$16*12-$B$13*$B$11-($B$15*1)</f>
        <v>401774.78125</v>
      </c>
      <c r="D29" s="27" t="n">
        <f aca="false">ROUND($B$8*$B$12,0)*(($B$5*(1+$B$14))/(1+$B$6)-($B$5*(1+$B$14))*$B$7)+$B$13*(($B$5*(1+$B$14))/(1+$B$6)-($B$5*(1+$B$14))*$B$7)/2+$B$8*($B$5/(1+$B$6)-$B$5*$B$7)/2-(ROUND($B$8*$B$12,0)+$B$13/2)*$B$16*12-$B$13*$B$11-($B$15*1.2)</f>
        <v>343544.78125</v>
      </c>
      <c r="E29" s="27" t="n">
        <f aca="false">ABS(D29-B29)</f>
        <v>116460</v>
      </c>
      <c r="F29" s="20" t="s">
        <v>405</v>
      </c>
    </row>
    <row r="30" customFormat="false" ht="15" hidden="false" customHeight="false" outlineLevel="0" collapsed="false">
      <c r="A30" s="6" t="s">
        <v>409</v>
      </c>
      <c r="B30" s="27" t="n">
        <f aca="false">ROUND(($B$8*0.8)*$B$12,0)*(($B$5*(1+$B$14))/(1+$B$6)-($B$5*(1+$B$14))*$B$7)+$B$13*(($B$5*(1+$B$14))/(1+$B$6)-($B$5*(1+$B$14))*$B$7)/2+($B$8*0.8)*($B$5/(1+$B$6)-$B$5*$B$7)/2-(ROUND(($B$8*0.8)*$B$12,0)+$B$13/2)*$B$16*12-$B$13*$B$11-$B$15</f>
        <v>316490.125</v>
      </c>
      <c r="C30" s="27" t="n">
        <f aca="false">ROUND(($B$8*1)*$B$12,0)*(($B$5*(1+$B$14))/(1+$B$6)-($B$5*(1+$B$14))*$B$7)+$B$13*(($B$5*(1+$B$14))/(1+$B$6)-($B$5*(1+$B$14))*$B$7)/2+($B$8*1)*($B$5/(1+$B$6)-$B$5*$B$7)/2-(ROUND(($B$8*1)*$B$12,0)+$B$13/2)*$B$16*12-$B$13*$B$11-$B$15</f>
        <v>401774.78125</v>
      </c>
      <c r="D30" s="27" t="n">
        <f aca="false">ROUND(($B$8*1.2)*$B$12,0)*(($B$5*(1+$B$14))/(1+$B$6)-($B$5*(1+$B$14))*$B$7)+$B$13*(($B$5*(1+$B$14))/(1+$B$6)-($B$5*(1+$B$14))*$B$7)/2+($B$8*1.2)*($B$5/(1+$B$6)-$B$5*$B$7)/2-(ROUND(($B$8*1.2)*$B$12,0)+$B$13/2)*$B$16*12-$B$13*$B$11-$B$15</f>
        <v>481090.65625</v>
      </c>
      <c r="E30" s="27" t="n">
        <f aca="false">ABS(D30-B30)</f>
        <v>164600.53125</v>
      </c>
      <c r="F30" s="20" t="s">
        <v>405</v>
      </c>
    </row>
    <row r="32" customFormat="false" ht="23.85" hidden="false" customHeight="false" outlineLevel="0" collapsed="false">
      <c r="A32" s="20" t="s">
        <v>410</v>
      </c>
    </row>
    <row r="34" customFormat="false" ht="15" hidden="false" customHeight="false" outlineLevel="0" collapsed="false">
      <c r="A34" s="21" t="s">
        <v>411</v>
      </c>
      <c r="B34" s="21"/>
      <c r="C34" s="21"/>
      <c r="D34" s="21"/>
      <c r="E34" s="21"/>
      <c r="F34" s="21"/>
      <c r="G34" s="21"/>
      <c r="H34" s="21"/>
      <c r="I34" s="21"/>
      <c r="J34" s="21"/>
    </row>
    <row r="35" customFormat="false" ht="15" hidden="false" customHeight="false" outlineLevel="0" collapsed="false">
      <c r="A35" s="3" t="s">
        <v>412</v>
      </c>
      <c r="B35" s="23" t="n">
        <v>90000</v>
      </c>
      <c r="C35" s="23" t="n">
        <v>110000</v>
      </c>
      <c r="D35" s="23" t="n">
        <v>120000</v>
      </c>
      <c r="E35" s="23" t="n">
        <v>140000</v>
      </c>
      <c r="F35" s="23" t="n">
        <v>160000</v>
      </c>
      <c r="G35" s="23" t="n">
        <v>180000</v>
      </c>
      <c r="H35" s="23" t="n">
        <v>200000</v>
      </c>
    </row>
    <row r="36" customFormat="false" ht="15" hidden="false" customHeight="false" outlineLevel="0" collapsed="false">
      <c r="A36" s="23" t="n">
        <v>5000</v>
      </c>
      <c r="B36" s="46" t="n">
        <f aca="false">IF((($A36/(1+$B$6)-$A36*$B$7)-$B$10*12-$B$11)&lt;=0,0,ROUNDUP(B$35/(($A36/(1+$B$6)-$A36*$B$7)-$B$10*12-$B$11),0))</f>
        <v>27</v>
      </c>
      <c r="C36" s="46" t="n">
        <f aca="false">IF((($A36/(1+$B$6)-$A36*$B$7)-$B$10*12-$B$11)&lt;=0,0,ROUNDUP(C$35/(($A36/(1+$B$6)-$A36*$B$7)-$B$10*12-$B$11),0))</f>
        <v>33</v>
      </c>
      <c r="D36" s="46" t="n">
        <f aca="false">IF((($A36/(1+$B$6)-$A36*$B$7)-$B$10*12-$B$11)&lt;=0,0,ROUNDUP(D$35/(($A36/(1+$B$6)-$A36*$B$7)-$B$10*12-$B$11),0))</f>
        <v>36</v>
      </c>
      <c r="E36" s="46" t="n">
        <f aca="false">IF((($A36/(1+$B$6)-$A36*$B$7)-$B$10*12-$B$11)&lt;=0,0,ROUNDUP(E$35/(($A36/(1+$B$6)-$A36*$B$7)-$B$10*12-$B$11),0))</f>
        <v>41</v>
      </c>
      <c r="F36" s="46" t="n">
        <f aca="false">IF((($A36/(1+$B$6)-$A36*$B$7)-$B$10*12-$B$11)&lt;=0,0,ROUNDUP(F$35/(($A36/(1+$B$6)-$A36*$B$7)-$B$10*12-$B$11),0))</f>
        <v>47</v>
      </c>
      <c r="G36" s="46" t="n">
        <f aca="false">IF((($A36/(1+$B$6)-$A36*$B$7)-$B$10*12-$B$11)&lt;=0,0,ROUNDUP(G$35/(($A36/(1+$B$6)-$A36*$B$7)-$B$10*12-$B$11),0))</f>
        <v>53</v>
      </c>
      <c r="H36" s="46" t="n">
        <f aca="false">IF((($A36/(1+$B$6)-$A36*$B$7)-$B$10*12-$B$11)&lt;=0,0,ROUNDUP(H$35/(($A36/(1+$B$6)-$A36*$B$7)-$B$10*12-$B$11),0))</f>
        <v>59</v>
      </c>
    </row>
    <row r="37" customFormat="false" ht="15" hidden="false" customHeight="false" outlineLevel="0" collapsed="false">
      <c r="A37" s="23" t="n">
        <v>6000</v>
      </c>
      <c r="B37" s="46" t="n">
        <f aca="false">IF((($A37/(1+$B$6)-$A37*$B$7)-$B$10*12-$B$11)&lt;=0,0,ROUNDUP(B$35/(($A37/(1+$B$6)-$A37*$B$7)-$B$10*12-$B$11),0))</f>
        <v>22</v>
      </c>
      <c r="C37" s="46" t="n">
        <f aca="false">IF((($A37/(1+$B$6)-$A37*$B$7)-$B$10*12-$B$11)&lt;=0,0,ROUNDUP(C$35/(($A37/(1+$B$6)-$A37*$B$7)-$B$10*12-$B$11),0))</f>
        <v>26</v>
      </c>
      <c r="D37" s="46" t="n">
        <f aca="false">IF((($A37/(1+$B$6)-$A37*$B$7)-$B$10*12-$B$11)&lt;=0,0,ROUNDUP(D$35/(($A37/(1+$B$6)-$A37*$B$7)-$B$10*12-$B$11),0))</f>
        <v>29</v>
      </c>
      <c r="E37" s="46" t="n">
        <f aca="false">IF((($A37/(1+$B$6)-$A37*$B$7)-$B$10*12-$B$11)&lt;=0,0,ROUNDUP(E$35/(($A37/(1+$B$6)-$A37*$B$7)-$B$10*12-$B$11),0))</f>
        <v>33</v>
      </c>
      <c r="F37" s="46" t="n">
        <f aca="false">IF((($A37/(1+$B$6)-$A37*$B$7)-$B$10*12-$B$11)&lt;=0,0,ROUNDUP(F$35/(($A37/(1+$B$6)-$A37*$B$7)-$B$10*12-$B$11),0))</f>
        <v>38</v>
      </c>
      <c r="G37" s="46" t="n">
        <f aca="false">IF((($A37/(1+$B$6)-$A37*$B$7)-$B$10*12-$B$11)&lt;=0,0,ROUNDUP(G$35/(($A37/(1+$B$6)-$A37*$B$7)-$B$10*12-$B$11),0))</f>
        <v>43</v>
      </c>
      <c r="H37" s="46" t="n">
        <f aca="false">IF((($A37/(1+$B$6)-$A37*$B$7)-$B$10*12-$B$11)&lt;=0,0,ROUNDUP(H$35/(($A37/(1+$B$6)-$A37*$B$7)-$B$10*12-$B$11),0))</f>
        <v>47</v>
      </c>
    </row>
    <row r="38" customFormat="false" ht="15" hidden="false" customHeight="false" outlineLevel="0" collapsed="false">
      <c r="A38" s="23" t="n">
        <v>7000</v>
      </c>
      <c r="B38" s="46" t="n">
        <f aca="false">IF((($A38/(1+$B$6)-$A38*$B$7)-$B$10*12-$B$11)&lt;=0,0,ROUNDUP(B$35/(($A38/(1+$B$6)-$A38*$B$7)-$B$10*12-$B$11),0))</f>
        <v>18</v>
      </c>
      <c r="C38" s="46" t="n">
        <f aca="false">IF((($A38/(1+$B$6)-$A38*$B$7)-$B$10*12-$B$11)&lt;=0,0,ROUNDUP(C$35/(($A38/(1+$B$6)-$A38*$B$7)-$B$10*12-$B$11),0))</f>
        <v>22</v>
      </c>
      <c r="D38" s="46" t="n">
        <f aca="false">IF((($A38/(1+$B$6)-$A38*$B$7)-$B$10*12-$B$11)&lt;=0,0,ROUNDUP(D$35/(($A38/(1+$B$6)-$A38*$B$7)-$B$10*12-$B$11),0))</f>
        <v>24</v>
      </c>
      <c r="E38" s="46" t="n">
        <f aca="false">IF((($A38/(1+$B$6)-$A38*$B$7)-$B$10*12-$B$11)&lt;=0,0,ROUNDUP(E$35/(($A38/(1+$B$6)-$A38*$B$7)-$B$10*12-$B$11),0))</f>
        <v>28</v>
      </c>
      <c r="F38" s="46" t="n">
        <f aca="false">IF((($A38/(1+$B$6)-$A38*$B$7)-$B$10*12-$B$11)&lt;=0,0,ROUNDUP(F$35/(($A38/(1+$B$6)-$A38*$B$7)-$B$10*12-$B$11),0))</f>
        <v>32</v>
      </c>
      <c r="G38" s="46" t="n">
        <f aca="false">IF((($A38/(1+$B$6)-$A38*$B$7)-$B$10*12-$B$11)&lt;=0,0,ROUNDUP(G$35/(($A38/(1+$B$6)-$A38*$B$7)-$B$10*12-$B$11),0))</f>
        <v>36</v>
      </c>
      <c r="H38" s="46" t="n">
        <f aca="false">IF((($A38/(1+$B$6)-$A38*$B$7)-$B$10*12-$B$11)&lt;=0,0,ROUNDUP(H$35/(($A38/(1+$B$6)-$A38*$B$7)-$B$10*12-$B$11),0))</f>
        <v>40</v>
      </c>
    </row>
    <row r="39" customFormat="false" ht="15" hidden="false" customHeight="false" outlineLevel="0" collapsed="false">
      <c r="A39" s="23" t="n">
        <v>7475</v>
      </c>
      <c r="B39" s="46" t="n">
        <f aca="false">IF((($A39/(1+$B$6)-$A39*$B$7)-$B$10*12-$B$11)&lt;=0,0,ROUNDUP(B$35/(($A39/(1+$B$6)-$A39*$B$7)-$B$10*12-$B$11),0))</f>
        <v>17</v>
      </c>
      <c r="C39" s="46" t="n">
        <f aca="false">IF((($A39/(1+$B$6)-$A39*$B$7)-$B$10*12-$B$11)&lt;=0,0,ROUNDUP(C$35/(($A39/(1+$B$6)-$A39*$B$7)-$B$10*12-$B$11),0))</f>
        <v>20</v>
      </c>
      <c r="D39" s="46" t="n">
        <f aca="false">IF((($A39/(1+$B$6)-$A39*$B$7)-$B$10*12-$B$11)&lt;=0,0,ROUNDUP(D$35/(($A39/(1+$B$6)-$A39*$B$7)-$B$10*12-$B$11),0))</f>
        <v>22</v>
      </c>
      <c r="E39" s="46" t="n">
        <f aca="false">IF((($A39/(1+$B$6)-$A39*$B$7)-$B$10*12-$B$11)&lt;=0,0,ROUNDUP(E$35/(($A39/(1+$B$6)-$A39*$B$7)-$B$10*12-$B$11),0))</f>
        <v>26</v>
      </c>
      <c r="F39" s="46" t="n">
        <f aca="false">IF((($A39/(1+$B$6)-$A39*$B$7)-$B$10*12-$B$11)&lt;=0,0,ROUNDUP(F$35/(($A39/(1+$B$6)-$A39*$B$7)-$B$10*12-$B$11),0))</f>
        <v>30</v>
      </c>
      <c r="G39" s="46" t="n">
        <f aca="false">IF((($A39/(1+$B$6)-$A39*$B$7)-$B$10*12-$B$11)&lt;=0,0,ROUNDUP(G$35/(($A39/(1+$B$6)-$A39*$B$7)-$B$10*12-$B$11),0))</f>
        <v>33</v>
      </c>
      <c r="H39" s="46" t="n">
        <f aca="false">IF((($A39/(1+$B$6)-$A39*$B$7)-$B$10*12-$B$11)&lt;=0,0,ROUNDUP(H$35/(($A39/(1+$B$6)-$A39*$B$7)-$B$10*12-$B$11),0))</f>
        <v>37</v>
      </c>
    </row>
    <row r="40" customFormat="false" ht="15" hidden="false" customHeight="false" outlineLevel="0" collapsed="false">
      <c r="A40" s="23" t="n">
        <v>8000</v>
      </c>
      <c r="B40" s="46" t="n">
        <f aca="false">IF((($A40/(1+$B$6)-$A40*$B$7)-$B$10*12-$B$11)&lt;=0,0,ROUNDUP(B$35/(($A40/(1+$B$6)-$A40*$B$7)-$B$10*12-$B$11),0))</f>
        <v>16</v>
      </c>
      <c r="C40" s="46" t="n">
        <f aca="false">IF((($A40/(1+$B$6)-$A40*$B$7)-$B$10*12-$B$11)&lt;=0,0,ROUNDUP(C$35/(($A40/(1+$B$6)-$A40*$B$7)-$B$10*12-$B$11),0))</f>
        <v>19</v>
      </c>
      <c r="D40" s="46" t="n">
        <f aca="false">IF((($A40/(1+$B$6)-$A40*$B$7)-$B$10*12-$B$11)&lt;=0,0,ROUNDUP(D$35/(($A40/(1+$B$6)-$A40*$B$7)-$B$10*12-$B$11),0))</f>
        <v>21</v>
      </c>
      <c r="E40" s="46" t="n">
        <f aca="false">IF((($A40/(1+$B$6)-$A40*$B$7)-$B$10*12-$B$11)&lt;=0,0,ROUNDUP(E$35/(($A40/(1+$B$6)-$A40*$B$7)-$B$10*12-$B$11),0))</f>
        <v>24</v>
      </c>
      <c r="F40" s="46" t="n">
        <f aca="false">IF((($A40/(1+$B$6)-$A40*$B$7)-$B$10*12-$B$11)&lt;=0,0,ROUNDUP(F$35/(($A40/(1+$B$6)-$A40*$B$7)-$B$10*12-$B$11),0))</f>
        <v>27</v>
      </c>
      <c r="G40" s="46" t="n">
        <f aca="false">IF((($A40/(1+$B$6)-$A40*$B$7)-$B$10*12-$B$11)&lt;=0,0,ROUNDUP(G$35/(($A40/(1+$B$6)-$A40*$B$7)-$B$10*12-$B$11),0))</f>
        <v>31</v>
      </c>
      <c r="H40" s="46" t="n">
        <f aca="false">IF((($A40/(1+$B$6)-$A40*$B$7)-$B$10*12-$B$11)&lt;=0,0,ROUNDUP(H$35/(($A40/(1+$B$6)-$A40*$B$7)-$B$10*12-$B$11),0))</f>
        <v>34</v>
      </c>
    </row>
    <row r="41" customFormat="false" ht="15" hidden="false" customHeight="false" outlineLevel="0" collapsed="false">
      <c r="A41" s="23" t="n">
        <v>9000</v>
      </c>
      <c r="B41" s="46" t="n">
        <f aca="false">IF((($A41/(1+$B$6)-$A41*$B$7)-$B$10*12-$B$11)&lt;=0,0,ROUNDUP(B$35/(($A41/(1+$B$6)-$A41*$B$7)-$B$10*12-$B$11),0))</f>
        <v>14</v>
      </c>
      <c r="C41" s="46" t="n">
        <f aca="false">IF((($A41/(1+$B$6)-$A41*$B$7)-$B$10*12-$B$11)&lt;=0,0,ROUNDUP(C$35/(($A41/(1+$B$6)-$A41*$B$7)-$B$10*12-$B$11),0))</f>
        <v>17</v>
      </c>
      <c r="D41" s="46" t="n">
        <f aca="false">IF((($A41/(1+$B$6)-$A41*$B$7)-$B$10*12-$B$11)&lt;=0,0,ROUNDUP(D$35/(($A41/(1+$B$6)-$A41*$B$7)-$B$10*12-$B$11),0))</f>
        <v>18</v>
      </c>
      <c r="E41" s="46" t="n">
        <f aca="false">IF((($A41/(1+$B$6)-$A41*$B$7)-$B$10*12-$B$11)&lt;=0,0,ROUNDUP(E$35/(($A41/(1+$B$6)-$A41*$B$7)-$B$10*12-$B$11),0))</f>
        <v>21</v>
      </c>
      <c r="F41" s="46" t="n">
        <f aca="false">IF((($A41/(1+$B$6)-$A41*$B$7)-$B$10*12-$B$11)&lt;=0,0,ROUNDUP(F$35/(($A41/(1+$B$6)-$A41*$B$7)-$B$10*12-$B$11),0))</f>
        <v>24</v>
      </c>
      <c r="G41" s="46" t="n">
        <f aca="false">IF((($A41/(1+$B$6)-$A41*$B$7)-$B$10*12-$B$11)&lt;=0,0,ROUNDUP(G$35/(($A41/(1+$B$6)-$A41*$B$7)-$B$10*12-$B$11),0))</f>
        <v>27</v>
      </c>
      <c r="H41" s="46" t="n">
        <f aca="false">IF((($A41/(1+$B$6)-$A41*$B$7)-$B$10*12-$B$11)&lt;=0,0,ROUNDUP(H$35/(($A41/(1+$B$6)-$A41*$B$7)-$B$10*12-$B$11),0))</f>
        <v>30</v>
      </c>
    </row>
    <row r="42" customFormat="false" ht="15" hidden="false" customHeight="false" outlineLevel="0" collapsed="false">
      <c r="A42" s="23" t="n">
        <v>10000</v>
      </c>
      <c r="B42" s="46" t="n">
        <f aca="false">IF((($A42/(1+$B$6)-$A42*$B$7)-$B$10*12-$B$11)&lt;=0,0,ROUNDUP(B$35/(($A42/(1+$B$6)-$A42*$B$7)-$B$10*12-$B$11),0))</f>
        <v>12</v>
      </c>
      <c r="C42" s="46" t="n">
        <f aca="false">IF((($A42/(1+$B$6)-$A42*$B$7)-$B$10*12-$B$11)&lt;=0,0,ROUNDUP(C$35/(($A42/(1+$B$6)-$A42*$B$7)-$B$10*12-$B$11),0))</f>
        <v>15</v>
      </c>
      <c r="D42" s="46" t="n">
        <f aca="false">IF((($A42/(1+$B$6)-$A42*$B$7)-$B$10*12-$B$11)&lt;=0,0,ROUNDUP(D$35/(($A42/(1+$B$6)-$A42*$B$7)-$B$10*12-$B$11),0))</f>
        <v>16</v>
      </c>
      <c r="E42" s="46" t="n">
        <f aca="false">IF((($A42/(1+$B$6)-$A42*$B$7)-$B$10*12-$B$11)&lt;=0,0,ROUNDUP(E$35/(($A42/(1+$B$6)-$A42*$B$7)-$B$10*12-$B$11),0))</f>
        <v>19</v>
      </c>
      <c r="F42" s="46" t="n">
        <f aca="false">IF((($A42/(1+$B$6)-$A42*$B$7)-$B$10*12-$B$11)&lt;=0,0,ROUNDUP(F$35/(($A42/(1+$B$6)-$A42*$B$7)-$B$10*12-$B$11),0))</f>
        <v>21</v>
      </c>
      <c r="G42" s="46" t="n">
        <f aca="false">IF((($A42/(1+$B$6)-$A42*$B$7)-$B$10*12-$B$11)&lt;=0,0,ROUNDUP(G$35/(($A42/(1+$B$6)-$A42*$B$7)-$B$10*12-$B$11),0))</f>
        <v>24</v>
      </c>
      <c r="H42" s="46" t="n">
        <f aca="false">IF((($A42/(1+$B$6)-$A42*$B$7)-$B$10*12-$B$11)&lt;=0,0,ROUNDUP(H$35/(($A42/(1+$B$6)-$A42*$B$7)-$B$10*12-$B$11),0))</f>
        <v>27</v>
      </c>
    </row>
    <row r="43" customFormat="false" ht="15" hidden="false" customHeight="false" outlineLevel="0" collapsed="false">
      <c r="A43" s="23" t="n">
        <v>12000</v>
      </c>
      <c r="B43" s="46" t="n">
        <f aca="false">IF((($A43/(1+$B$6)-$A43*$B$7)-$B$10*12-$B$11)&lt;=0,0,ROUNDUP(B$35/(($A43/(1+$B$6)-$A43*$B$7)-$B$10*12-$B$11),0))</f>
        <v>10</v>
      </c>
      <c r="C43" s="46" t="n">
        <f aca="false">IF((($A43/(1+$B$6)-$A43*$B$7)-$B$10*12-$B$11)&lt;=0,0,ROUNDUP(C$35/(($A43/(1+$B$6)-$A43*$B$7)-$B$10*12-$B$11),0))</f>
        <v>12</v>
      </c>
      <c r="D43" s="46" t="n">
        <f aca="false">IF((($A43/(1+$B$6)-$A43*$B$7)-$B$10*12-$B$11)&lt;=0,0,ROUNDUP(D$35/(($A43/(1+$B$6)-$A43*$B$7)-$B$10*12-$B$11),0))</f>
        <v>13</v>
      </c>
      <c r="E43" s="46" t="n">
        <f aca="false">IF((($A43/(1+$B$6)-$A43*$B$7)-$B$10*12-$B$11)&lt;=0,0,ROUNDUP(E$35/(($A43/(1+$B$6)-$A43*$B$7)-$B$10*12-$B$11),0))</f>
        <v>15</v>
      </c>
      <c r="F43" s="46" t="n">
        <f aca="false">IF((($A43/(1+$B$6)-$A43*$B$7)-$B$10*12-$B$11)&lt;=0,0,ROUNDUP(F$35/(($A43/(1+$B$6)-$A43*$B$7)-$B$10*12-$B$11),0))</f>
        <v>18</v>
      </c>
      <c r="G43" s="46" t="n">
        <f aca="false">IF((($A43/(1+$B$6)-$A43*$B$7)-$B$10*12-$B$11)&lt;=0,0,ROUNDUP(G$35/(($A43/(1+$B$6)-$A43*$B$7)-$B$10*12-$B$11),0))</f>
        <v>20</v>
      </c>
      <c r="H43" s="46" t="n">
        <f aca="false">IF((($A43/(1+$B$6)-$A43*$B$7)-$B$10*12-$B$11)&lt;=0,0,ROUNDUP(H$35/(($A43/(1+$B$6)-$A43*$B$7)-$B$10*12-$B$11),0))</f>
        <v>22</v>
      </c>
    </row>
    <row r="46" customFormat="false" ht="15" hidden="false" customHeight="false" outlineLevel="0" collapsed="false">
      <c r="A46" s="21" t="s">
        <v>413</v>
      </c>
      <c r="B46" s="21"/>
      <c r="C46" s="21"/>
      <c r="D46" s="21"/>
      <c r="E46" s="21"/>
      <c r="F46" s="21"/>
      <c r="G46" s="21"/>
      <c r="H46" s="21"/>
      <c r="I46" s="21"/>
      <c r="J46" s="21"/>
    </row>
    <row r="47" customFormat="false" ht="15" hidden="false" customHeight="false" outlineLevel="0" collapsed="false">
      <c r="A47" s="3" t="s">
        <v>414</v>
      </c>
      <c r="B47" s="23" t="n">
        <v>5000</v>
      </c>
      <c r="C47" s="23" t="n">
        <v>6000</v>
      </c>
      <c r="D47" s="23" t="n">
        <v>7475</v>
      </c>
      <c r="E47" s="23" t="n">
        <v>9000</v>
      </c>
      <c r="F47" s="23" t="n">
        <v>10500</v>
      </c>
    </row>
    <row r="48" customFormat="false" ht="15" hidden="false" customHeight="false" outlineLevel="0" collapsed="false">
      <c r="A48" s="47" t="n">
        <v>15</v>
      </c>
      <c r="B48" s="27" t="n">
        <f aca="false">$A48*(B$47/(1+$B$6)-B$47*$B$7)-$A48*($B$10*6+$B$11)-$B$9</f>
        <v>-63941.8924628622</v>
      </c>
      <c r="C48" s="27" t="n">
        <f aca="false">$A48*(C$47/(1+$B$6)-C$47*$B$7)-$A48*($B$10*6+$B$11)-$B$9</f>
        <v>-51273.4142019926</v>
      </c>
      <c r="D48" s="27" t="n">
        <f aca="false">$A48*(D$47/(1+$B$6)-D$47*$B$7)-$A48*($B$10*6+$B$11)-$B$9</f>
        <v>-32587.40876721</v>
      </c>
      <c r="E48" s="27" t="n">
        <f aca="false">$A48*(E$47/(1+$B$6)-E$47*$B$7)-$A48*($B$10*6+$B$11)-$B$9</f>
        <v>-13267.9794193839</v>
      </c>
      <c r="F48" s="27" t="n">
        <f aca="false">$A48*(F$47/(1+$B$6)-F$47*$B$7)-$A48*($B$10*6+$B$11)-$B$9</f>
        <v>5734.73797192043</v>
      </c>
    </row>
    <row r="49" customFormat="false" ht="15" hidden="false" customHeight="false" outlineLevel="0" collapsed="false">
      <c r="A49" s="47" t="n">
        <v>20</v>
      </c>
      <c r="B49" s="27" t="n">
        <f aca="false">$A49*(B$47/(1+$B$6)-B$47*$B$7)-$A49*($B$10*6+$B$11)-$B$9</f>
        <v>-45327.7620280796</v>
      </c>
      <c r="C49" s="27" t="n">
        <f aca="false">$A49*(C$47/(1+$B$6)-C$47*$B$7)-$A49*($B$10*6+$B$11)-$B$9</f>
        <v>-28436.4576802535</v>
      </c>
      <c r="D49" s="27" t="n">
        <f aca="false">$A49*(D$47/(1+$B$6)-D$47*$B$7)-$A49*($B$10*6+$B$11)-$B$9</f>
        <v>-3521.78376720999</v>
      </c>
      <c r="E49" s="27" t="n">
        <f aca="false">$A49*(E$47/(1+$B$6)-E$47*$B$7)-$A49*($B$10*6+$B$11)-$B$9</f>
        <v>22237.4553632248</v>
      </c>
      <c r="F49" s="27" t="n">
        <f aca="false">$A49*(F$47/(1+$B$6)-F$47*$B$7)-$A49*($B$10*6+$B$11)-$B$9</f>
        <v>47574.4118849639</v>
      </c>
    </row>
    <row r="50" customFormat="false" ht="15" hidden="false" customHeight="false" outlineLevel="0" collapsed="false">
      <c r="A50" s="47" t="n">
        <v>30</v>
      </c>
      <c r="B50" s="27" t="n">
        <f aca="false">$A50*(B$47/(1+$B$6)-B$47*$B$7)-$A50*($B$10*6+$B$11)-$B$9</f>
        <v>-8099.50115851434</v>
      </c>
      <c r="C50" s="27" t="n">
        <f aca="false">$A50*(C$47/(1+$B$6)-C$47*$B$7)-$A50*($B$10*6+$B$11)-$B$9</f>
        <v>17237.4553632248</v>
      </c>
      <c r="D50" s="27" t="n">
        <f aca="false">$A50*(D$47/(1+$B$6)-D$47*$B$7)-$A50*($B$10*6+$B$11)-$B$9</f>
        <v>54609.46623279</v>
      </c>
      <c r="E50" s="27" t="n">
        <f aca="false">$A50*(E$47/(1+$B$6)-E$47*$B$7)-$A50*($B$10*6+$B$11)-$B$9</f>
        <v>93248.3249284422</v>
      </c>
      <c r="F50" s="27" t="n">
        <f aca="false">$A50*(F$47/(1+$B$6)-F$47*$B$7)-$A50*($B$10*6+$B$11)-$B$9</f>
        <v>131253.759711051</v>
      </c>
    </row>
    <row r="51" customFormat="false" ht="15" hidden="false" customHeight="false" outlineLevel="0" collapsed="false">
      <c r="A51" s="47" t="n">
        <v>40</v>
      </c>
      <c r="B51" s="27" t="n">
        <f aca="false">$A51*(B$47/(1+$B$6)-B$47*$B$7)-$A51*($B$10*6+$B$11)-$B$9</f>
        <v>29128.7597110509</v>
      </c>
      <c r="C51" s="27" t="n">
        <f aca="false">$A51*(C$47/(1+$B$6)-C$47*$B$7)-$A51*($B$10*6+$B$11)-$B$9</f>
        <v>62911.3684067031</v>
      </c>
      <c r="D51" s="27" t="n">
        <f aca="false">$A51*(D$47/(1+$B$6)-D$47*$B$7)-$A51*($B$10*6+$B$11)-$B$9</f>
        <v>112740.71623279</v>
      </c>
      <c r="E51" s="27" t="n">
        <f aca="false">$A51*(E$47/(1+$B$6)-E$47*$B$7)-$A51*($B$10*6+$B$11)-$B$9</f>
        <v>164259.19449366</v>
      </c>
      <c r="F51" s="27" t="n">
        <f aca="false">$A51*(F$47/(1+$B$6)-F$47*$B$7)-$A51*($B$10*6+$B$11)-$B$9</f>
        <v>214933.107537138</v>
      </c>
    </row>
    <row r="52" customFormat="false" ht="15" hidden="false" customHeight="false" outlineLevel="0" collapsed="false">
      <c r="A52" s="47" t="n">
        <v>50</v>
      </c>
      <c r="B52" s="27" t="n">
        <f aca="false">$A52*(B$47/(1+$B$6)-B$47*$B$7)-$A52*($B$10*6+$B$11)-$B$9</f>
        <v>66357.0205806161</v>
      </c>
      <c r="C52" s="27" t="n">
        <f aca="false">$A52*(C$47/(1+$B$6)-C$47*$B$7)-$A52*($B$10*6+$B$11)-$B$9</f>
        <v>108585.281450181</v>
      </c>
      <c r="D52" s="27" t="n">
        <f aca="false">$A52*(D$47/(1+$B$6)-D$47*$B$7)-$A52*($B$10*6+$B$11)-$B$9</f>
        <v>170871.96623279</v>
      </c>
      <c r="E52" s="27" t="n">
        <f aca="false">$A52*(E$47/(1+$B$6)-E$47*$B$7)-$A52*($B$10*6+$B$11)-$B$9</f>
        <v>235270.064058877</v>
      </c>
      <c r="F52" s="27" t="n">
        <f aca="false">$A52*(F$47/(1+$B$6)-F$47*$B$7)-$A52*($B$10*6+$B$11)-$B$9</f>
        <v>298612.455363225</v>
      </c>
    </row>
    <row r="53" customFormat="false" ht="15" hidden="false" customHeight="false" outlineLevel="0" collapsed="false">
      <c r="A53" s="47" t="n">
        <v>60</v>
      </c>
      <c r="B53" s="27" t="n">
        <f aca="false">$A53*(B$47/(1+$B$6)-B$47*$B$7)-$A53*($B$10*6+$B$11)-$B$9</f>
        <v>103585.281450181</v>
      </c>
      <c r="C53" s="27" t="n">
        <f aca="false">$A53*(C$47/(1+$B$6)-C$47*$B$7)-$A53*($B$10*6+$B$11)-$B$9</f>
        <v>154259.19449366</v>
      </c>
      <c r="D53" s="27" t="n">
        <f aca="false">$A53*(D$47/(1+$B$6)-D$47*$B$7)-$A53*($B$10*6+$B$11)-$B$9</f>
        <v>229003.21623279</v>
      </c>
      <c r="E53" s="27" t="n">
        <f aca="false">$A53*(E$47/(1+$B$6)-E$47*$B$7)-$A53*($B$10*6+$B$11)-$B$9</f>
        <v>306280.933624094</v>
      </c>
      <c r="F53" s="27" t="n">
        <f aca="false">$A53*(F$47/(1+$B$6)-F$47*$B$7)-$A53*($B$10*6+$B$11)-$B$9</f>
        <v>382291.803189312</v>
      </c>
    </row>
    <row r="54" customFormat="false" ht="15" hidden="false" customHeight="false" outlineLevel="0" collapsed="false">
      <c r="A54" s="47" t="n">
        <v>80</v>
      </c>
      <c r="B54" s="27" t="n">
        <f aca="false">$A54*(B$47/(1+$B$6)-B$47*$B$7)-$A54*($B$10*6+$B$11)-$B$9</f>
        <v>178041.803189312</v>
      </c>
      <c r="C54" s="27" t="n">
        <f aca="false">$A54*(C$47/(1+$B$6)-C$47*$B$7)-$A54*($B$10*6+$B$11)-$B$9</f>
        <v>245607.020580616</v>
      </c>
      <c r="D54" s="27" t="n">
        <f aca="false">$A54*(D$47/(1+$B$6)-D$47*$B$7)-$A54*($B$10*6+$B$11)-$B$9</f>
        <v>345265.71623279</v>
      </c>
      <c r="E54" s="27" t="n">
        <f aca="false">$A54*(E$47/(1+$B$6)-E$47*$B$7)-$A54*($B$10*6+$B$11)-$B$9</f>
        <v>448302.672754529</v>
      </c>
      <c r="F54" s="27" t="n">
        <f aca="false">$A54*(F$47/(1+$B$6)-F$47*$B$7)-$A54*($B$10*6+$B$11)-$B$9</f>
        <v>549650.498841486</v>
      </c>
    </row>
    <row r="55" customFormat="false" ht="15" hidden="false" customHeight="false" outlineLevel="0" collapsed="false">
      <c r="A55" s="47" t="n">
        <v>100</v>
      </c>
      <c r="B55" s="27" t="n">
        <f aca="false">$A55*(B$47/(1+$B$6)-B$47*$B$7)-$A55*($B$10*6+$B$11)-$B$9</f>
        <v>252498.324928442</v>
      </c>
      <c r="C55" s="27" t="n">
        <f aca="false">$A55*(C$47/(1+$B$6)-C$47*$B$7)-$A55*($B$10*6+$B$11)-$B$9</f>
        <v>336954.846667573</v>
      </c>
      <c r="D55" s="27" t="n">
        <f aca="false">$A55*(D$47/(1+$B$6)-D$47*$B$7)-$A55*($B$10*6+$B$11)-$B$9</f>
        <v>461528.21623279</v>
      </c>
      <c r="E55" s="27" t="n">
        <f aca="false">$A55*(E$47/(1+$B$6)-E$47*$B$7)-$A55*($B$10*6+$B$11)-$B$9</f>
        <v>590324.411884964</v>
      </c>
      <c r="F55" s="27" t="n">
        <f aca="false">$A55*(F$47/(1+$B$6)-F$47*$B$7)-$A55*($B$10*6+$B$11)-$B$9</f>
        <v>717009.19449366</v>
      </c>
    </row>
    <row r="58" customFormat="false" ht="15" hidden="false" customHeight="false" outlineLevel="0" collapsed="false">
      <c r="A58" s="21" t="s">
        <v>415</v>
      </c>
      <c r="B58" s="21"/>
      <c r="C58" s="21"/>
      <c r="D58" s="21"/>
      <c r="E58" s="21"/>
      <c r="F58" s="21"/>
      <c r="G58" s="21"/>
      <c r="H58" s="21"/>
      <c r="I58" s="21"/>
      <c r="J58" s="21"/>
    </row>
    <row r="59" customFormat="false" ht="15" hidden="false" customHeight="false" outlineLevel="0" collapsed="false">
      <c r="A59" s="3" t="s">
        <v>416</v>
      </c>
      <c r="B59" s="47" t="n">
        <v>60</v>
      </c>
      <c r="C59" s="47" t="n">
        <v>80</v>
      </c>
      <c r="D59" s="47" t="n">
        <v>100</v>
      </c>
      <c r="E59" s="47" t="n">
        <v>120</v>
      </c>
      <c r="F59" s="47" t="n">
        <v>150</v>
      </c>
      <c r="G59" s="47" t="n">
        <v>180</v>
      </c>
    </row>
    <row r="60" customFormat="false" ht="15" hidden="false" customHeight="false" outlineLevel="0" collapsed="false">
      <c r="A60" s="48" t="n">
        <v>0.05</v>
      </c>
      <c r="B60" s="27" t="n">
        <f aca="false">ROUND($B$8*(1-$A60),0)*(($B$5*(1+$B$14))/(1+$B$6)-($B$5*(1+$B$14))*$B$7)+B$59*(($B$5*(1+$B$14))/(1+$B$6)-($B$5*(1+$B$14))*$B$7)/2+$B$8*($B$5/(1+$B$6)-$B$5*$B$7)/2-(ROUND($B$8*(1-$A60),0)+B$59/2)*$B$16*12-B$59*$B$11-$B$15</f>
        <v>320243.0625</v>
      </c>
      <c r="C60" s="27" t="n">
        <f aca="false">ROUND($B$8*(1-$A60),0)*(($B$5*(1+$B$14))/(1+$B$6)-($B$5*(1+$B$14))*$B$7)+C$59*(($B$5*(1+$B$14))/(1+$B$6)-($B$5*(1+$B$14))*$B$7)/2+$B$8*($B$5/(1+$B$6)-$B$5*$B$7)/2-(ROUND($B$8*(1-$A60),0)+C$59/2)*$B$16*12-C$59*$B$11-$B$15</f>
        <v>375930.875</v>
      </c>
      <c r="D60" s="27" t="n">
        <f aca="false">ROUND($B$8*(1-$A60),0)*(($B$5*(1+$B$14))/(1+$B$6)-($B$5*(1+$B$14))*$B$7)+D$59*(($B$5*(1+$B$14))/(1+$B$6)-($B$5*(1+$B$14))*$B$7)/2+$B$8*($B$5/(1+$B$6)-$B$5*$B$7)/2-(ROUND($B$8*(1-$A60),0)+D$59/2)*$B$16*12-D$59*$B$11-$B$15</f>
        <v>431618.6875</v>
      </c>
      <c r="E60" s="27" t="n">
        <f aca="false">ROUND($B$8*(1-$A60),0)*(($B$5*(1+$B$14))/(1+$B$6)-($B$5*(1+$B$14))*$B$7)+E$59*(($B$5*(1+$B$14))/(1+$B$6)-($B$5*(1+$B$14))*$B$7)/2+$B$8*($B$5/(1+$B$6)-$B$5*$B$7)/2-(ROUND($B$8*(1-$A60),0)+E$59/2)*$B$16*12-E$59*$B$11-$B$15</f>
        <v>487306.5</v>
      </c>
      <c r="F60" s="27" t="n">
        <f aca="false">ROUND($B$8*(1-$A60),0)*(($B$5*(1+$B$14))/(1+$B$6)-($B$5*(1+$B$14))*$B$7)+F$59*(($B$5*(1+$B$14))/(1+$B$6)-($B$5*(1+$B$14))*$B$7)/2+$B$8*($B$5/(1+$B$6)-$B$5*$B$7)/2-(ROUND($B$8*(1-$A60),0)+F$59/2)*$B$16*12-F$59*$B$11-$B$15</f>
        <v>570838.21875</v>
      </c>
      <c r="G60" s="27" t="n">
        <f aca="false">ROUND($B$8*(1-$A60),0)*(($B$5*(1+$B$14))/(1+$B$6)-($B$5*(1+$B$14))*$B$7)+G$59*(($B$5*(1+$B$14))/(1+$B$6)-($B$5*(1+$B$14))*$B$7)/2+$B$8*($B$5/(1+$B$6)-$B$5*$B$7)/2-(ROUND($B$8*(1-$A60),0)+G$59/2)*$B$16*12-G$59*$B$11-$B$15</f>
        <v>654369.9375</v>
      </c>
    </row>
    <row r="61" customFormat="false" ht="15" hidden="false" customHeight="false" outlineLevel="0" collapsed="false">
      <c r="A61" s="48" t="n">
        <v>0.1</v>
      </c>
      <c r="B61" s="27" t="n">
        <f aca="false">ROUND($B$8*(1-$A61),0)*(($B$5*(1+$B$14))/(1+$B$6)-($B$5*(1+$B$14))*$B$7)+B$59*(($B$5*(1+$B$14))/(1+$B$6)-($B$5*(1+$B$14))*$B$7)/2+$B$8*($B$5/(1+$B$6)-$B$5*$B$7)/2-(ROUND($B$8*(1-$A61),0)+B$59/2)*$B$16*12-B$59*$B$11-$B$15</f>
        <v>302336.71875</v>
      </c>
      <c r="C61" s="27" t="n">
        <f aca="false">ROUND($B$8*(1-$A61),0)*(($B$5*(1+$B$14))/(1+$B$6)-($B$5*(1+$B$14))*$B$7)+C$59*(($B$5*(1+$B$14))/(1+$B$6)-($B$5*(1+$B$14))*$B$7)/2+$B$8*($B$5/(1+$B$6)-$B$5*$B$7)/2-(ROUND($B$8*(1-$A61),0)+C$59/2)*$B$16*12-C$59*$B$11-$B$15</f>
        <v>358024.53125</v>
      </c>
      <c r="D61" s="27" t="n">
        <f aca="false">ROUND($B$8*(1-$A61),0)*(($B$5*(1+$B$14))/(1+$B$6)-($B$5*(1+$B$14))*$B$7)+D$59*(($B$5*(1+$B$14))/(1+$B$6)-($B$5*(1+$B$14))*$B$7)/2+$B$8*($B$5/(1+$B$6)-$B$5*$B$7)/2-(ROUND($B$8*(1-$A61),0)+D$59/2)*$B$16*12-D$59*$B$11-$B$15</f>
        <v>413712.34375</v>
      </c>
      <c r="E61" s="27" t="n">
        <f aca="false">ROUND($B$8*(1-$A61),0)*(($B$5*(1+$B$14))/(1+$B$6)-($B$5*(1+$B$14))*$B$7)+E$59*(($B$5*(1+$B$14))/(1+$B$6)-($B$5*(1+$B$14))*$B$7)/2+$B$8*($B$5/(1+$B$6)-$B$5*$B$7)/2-(ROUND($B$8*(1-$A61),0)+E$59/2)*$B$16*12-E$59*$B$11-$B$15</f>
        <v>469400.15625</v>
      </c>
      <c r="F61" s="27" t="n">
        <f aca="false">ROUND($B$8*(1-$A61),0)*(($B$5*(1+$B$14))/(1+$B$6)-($B$5*(1+$B$14))*$B$7)+F$59*(($B$5*(1+$B$14))/(1+$B$6)-($B$5*(1+$B$14))*$B$7)/2+$B$8*($B$5/(1+$B$6)-$B$5*$B$7)/2-(ROUND($B$8*(1-$A61),0)+F$59/2)*$B$16*12-F$59*$B$11-$B$15</f>
        <v>552931.875</v>
      </c>
      <c r="G61" s="27" t="n">
        <f aca="false">ROUND($B$8*(1-$A61),0)*(($B$5*(1+$B$14))/(1+$B$6)-($B$5*(1+$B$14))*$B$7)+G$59*(($B$5*(1+$B$14))/(1+$B$6)-($B$5*(1+$B$14))*$B$7)/2+$B$8*($B$5/(1+$B$6)-$B$5*$B$7)/2-(ROUND($B$8*(1-$A61),0)+G$59/2)*$B$16*12-G$59*$B$11-$B$15</f>
        <v>636463.59375</v>
      </c>
    </row>
    <row r="62" customFormat="false" ht="15" hidden="false" customHeight="false" outlineLevel="0" collapsed="false">
      <c r="A62" s="48" t="n">
        <v>0.15</v>
      </c>
      <c r="B62" s="27" t="n">
        <f aca="false">ROUND($B$8*(1-$A62),0)*(($B$5*(1+$B$14))/(1+$B$6)-($B$5*(1+$B$14))*$B$7)+B$59*(($B$5*(1+$B$14))/(1+$B$6)-($B$5*(1+$B$14))*$B$7)/2+$B$8*($B$5/(1+$B$6)-$B$5*$B$7)/2-(ROUND($B$8*(1-$A62),0)+B$59/2)*$B$16*12-B$59*$B$11-$B$15</f>
        <v>290399.15625</v>
      </c>
      <c r="C62" s="27" t="n">
        <f aca="false">ROUND($B$8*(1-$A62),0)*(($B$5*(1+$B$14))/(1+$B$6)-($B$5*(1+$B$14))*$B$7)+C$59*(($B$5*(1+$B$14))/(1+$B$6)-($B$5*(1+$B$14))*$B$7)/2+$B$8*($B$5/(1+$B$6)-$B$5*$B$7)/2-(ROUND($B$8*(1-$A62),0)+C$59/2)*$B$16*12-C$59*$B$11-$B$15</f>
        <v>346086.96875</v>
      </c>
      <c r="D62" s="27" t="n">
        <f aca="false">ROUND($B$8*(1-$A62),0)*(($B$5*(1+$B$14))/(1+$B$6)-($B$5*(1+$B$14))*$B$7)+D$59*(($B$5*(1+$B$14))/(1+$B$6)-($B$5*(1+$B$14))*$B$7)/2+$B$8*($B$5/(1+$B$6)-$B$5*$B$7)/2-(ROUND($B$8*(1-$A62),0)+D$59/2)*$B$16*12-D$59*$B$11-$B$15</f>
        <v>401774.78125</v>
      </c>
      <c r="E62" s="27" t="n">
        <f aca="false">ROUND($B$8*(1-$A62),0)*(($B$5*(1+$B$14))/(1+$B$6)-($B$5*(1+$B$14))*$B$7)+E$59*(($B$5*(1+$B$14))/(1+$B$6)-($B$5*(1+$B$14))*$B$7)/2+$B$8*($B$5/(1+$B$6)-$B$5*$B$7)/2-(ROUND($B$8*(1-$A62),0)+E$59/2)*$B$16*12-E$59*$B$11-$B$15</f>
        <v>457462.59375</v>
      </c>
      <c r="F62" s="27" t="n">
        <f aca="false">ROUND($B$8*(1-$A62),0)*(($B$5*(1+$B$14))/(1+$B$6)-($B$5*(1+$B$14))*$B$7)+F$59*(($B$5*(1+$B$14))/(1+$B$6)-($B$5*(1+$B$14))*$B$7)/2+$B$8*($B$5/(1+$B$6)-$B$5*$B$7)/2-(ROUND($B$8*(1-$A62),0)+F$59/2)*$B$16*12-F$59*$B$11-$B$15</f>
        <v>540994.3125</v>
      </c>
      <c r="G62" s="27" t="n">
        <f aca="false">ROUND($B$8*(1-$A62),0)*(($B$5*(1+$B$14))/(1+$B$6)-($B$5*(1+$B$14))*$B$7)+G$59*(($B$5*(1+$B$14))/(1+$B$6)-($B$5*(1+$B$14))*$B$7)/2+$B$8*($B$5/(1+$B$6)-$B$5*$B$7)/2-(ROUND($B$8*(1-$A62),0)+G$59/2)*$B$16*12-G$59*$B$11-$B$15</f>
        <v>624526.03125</v>
      </c>
    </row>
    <row r="63" customFormat="false" ht="15" hidden="false" customHeight="false" outlineLevel="0" collapsed="false">
      <c r="A63" s="48" t="n">
        <v>0.2</v>
      </c>
      <c r="B63" s="27" t="n">
        <f aca="false">ROUND($B$8*(1-$A63),0)*(($B$5*(1+$B$14))/(1+$B$6)-($B$5*(1+$B$14))*$B$7)+B$59*(($B$5*(1+$B$14))/(1+$B$6)-($B$5*(1+$B$14))*$B$7)/2+$B$8*($B$5/(1+$B$6)-$B$5*$B$7)/2-(ROUND($B$8*(1-$A63),0)+B$59/2)*$B$16*12-B$59*$B$11-$B$15</f>
        <v>272492.8125</v>
      </c>
      <c r="C63" s="27" t="n">
        <f aca="false">ROUND($B$8*(1-$A63),0)*(($B$5*(1+$B$14))/(1+$B$6)-($B$5*(1+$B$14))*$B$7)+C$59*(($B$5*(1+$B$14))/(1+$B$6)-($B$5*(1+$B$14))*$B$7)/2+$B$8*($B$5/(1+$B$6)-$B$5*$B$7)/2-(ROUND($B$8*(1-$A63),0)+C$59/2)*$B$16*12-C$59*$B$11-$B$15</f>
        <v>328180.625</v>
      </c>
      <c r="D63" s="27" t="n">
        <f aca="false">ROUND($B$8*(1-$A63),0)*(($B$5*(1+$B$14))/(1+$B$6)-($B$5*(1+$B$14))*$B$7)+D$59*(($B$5*(1+$B$14))/(1+$B$6)-($B$5*(1+$B$14))*$B$7)/2+$B$8*($B$5/(1+$B$6)-$B$5*$B$7)/2-(ROUND($B$8*(1-$A63),0)+D$59/2)*$B$16*12-D$59*$B$11-$B$15</f>
        <v>383868.4375</v>
      </c>
      <c r="E63" s="27" t="n">
        <f aca="false">ROUND($B$8*(1-$A63),0)*(($B$5*(1+$B$14))/(1+$B$6)-($B$5*(1+$B$14))*$B$7)+E$59*(($B$5*(1+$B$14))/(1+$B$6)-($B$5*(1+$B$14))*$B$7)/2+$B$8*($B$5/(1+$B$6)-$B$5*$B$7)/2-(ROUND($B$8*(1-$A63),0)+E$59/2)*$B$16*12-E$59*$B$11-$B$15</f>
        <v>439556.25</v>
      </c>
      <c r="F63" s="27" t="n">
        <f aca="false">ROUND($B$8*(1-$A63),0)*(($B$5*(1+$B$14))/(1+$B$6)-($B$5*(1+$B$14))*$B$7)+F$59*(($B$5*(1+$B$14))/(1+$B$6)-($B$5*(1+$B$14))*$B$7)/2+$B$8*($B$5/(1+$B$6)-$B$5*$B$7)/2-(ROUND($B$8*(1-$A63),0)+F$59/2)*$B$16*12-F$59*$B$11-$B$15</f>
        <v>523087.96875</v>
      </c>
      <c r="G63" s="27" t="n">
        <f aca="false">ROUND($B$8*(1-$A63),0)*(($B$5*(1+$B$14))/(1+$B$6)-($B$5*(1+$B$14))*$B$7)+G$59*(($B$5*(1+$B$14))/(1+$B$6)-($B$5*(1+$B$14))*$B$7)/2+$B$8*($B$5/(1+$B$6)-$B$5*$B$7)/2-(ROUND($B$8*(1-$A63),0)+G$59/2)*$B$16*12-G$59*$B$11-$B$15</f>
        <v>606619.6875</v>
      </c>
    </row>
    <row r="64" customFormat="false" ht="15" hidden="false" customHeight="false" outlineLevel="0" collapsed="false">
      <c r="A64" s="48" t="n">
        <v>0.3</v>
      </c>
      <c r="B64" s="27" t="n">
        <f aca="false">ROUND($B$8*(1-$A64),0)*(($B$5*(1+$B$14))/(1+$B$6)-($B$5*(1+$B$14))*$B$7)+B$59*(($B$5*(1+$B$14))/(1+$B$6)-($B$5*(1+$B$14))*$B$7)/2+$B$8*($B$5/(1+$B$6)-$B$5*$B$7)/2-(ROUND($B$8*(1-$A64),0)+B$59/2)*$B$16*12-B$59*$B$11-$B$15</f>
        <v>242648.90625</v>
      </c>
      <c r="C64" s="27" t="n">
        <f aca="false">ROUND($B$8*(1-$A64),0)*(($B$5*(1+$B$14))/(1+$B$6)-($B$5*(1+$B$14))*$B$7)+C$59*(($B$5*(1+$B$14))/(1+$B$6)-($B$5*(1+$B$14))*$B$7)/2+$B$8*($B$5/(1+$B$6)-$B$5*$B$7)/2-(ROUND($B$8*(1-$A64),0)+C$59/2)*$B$16*12-C$59*$B$11-$B$15</f>
        <v>298336.71875</v>
      </c>
      <c r="D64" s="27" t="n">
        <f aca="false">ROUND($B$8*(1-$A64),0)*(($B$5*(1+$B$14))/(1+$B$6)-($B$5*(1+$B$14))*$B$7)+D$59*(($B$5*(1+$B$14))/(1+$B$6)-($B$5*(1+$B$14))*$B$7)/2+$B$8*($B$5/(1+$B$6)-$B$5*$B$7)/2-(ROUND($B$8*(1-$A64),0)+D$59/2)*$B$16*12-D$59*$B$11-$B$15</f>
        <v>354024.53125</v>
      </c>
      <c r="E64" s="27" t="n">
        <f aca="false">ROUND($B$8*(1-$A64),0)*(($B$5*(1+$B$14))/(1+$B$6)-($B$5*(1+$B$14))*$B$7)+E$59*(($B$5*(1+$B$14))/(1+$B$6)-($B$5*(1+$B$14))*$B$7)/2+$B$8*($B$5/(1+$B$6)-$B$5*$B$7)/2-(ROUND($B$8*(1-$A64),0)+E$59/2)*$B$16*12-E$59*$B$11-$B$15</f>
        <v>409712.34375</v>
      </c>
      <c r="F64" s="27" t="n">
        <f aca="false">ROUND($B$8*(1-$A64),0)*(($B$5*(1+$B$14))/(1+$B$6)-($B$5*(1+$B$14))*$B$7)+F$59*(($B$5*(1+$B$14))/(1+$B$6)-($B$5*(1+$B$14))*$B$7)/2+$B$8*($B$5/(1+$B$6)-$B$5*$B$7)/2-(ROUND($B$8*(1-$A64),0)+F$59/2)*$B$16*12-F$59*$B$11-$B$15</f>
        <v>493244.0625</v>
      </c>
      <c r="G64" s="27" t="n">
        <f aca="false">ROUND($B$8*(1-$A64),0)*(($B$5*(1+$B$14))/(1+$B$6)-($B$5*(1+$B$14))*$B$7)+G$59*(($B$5*(1+$B$14))/(1+$B$6)-($B$5*(1+$B$14))*$B$7)/2+$B$8*($B$5/(1+$B$6)-$B$5*$B$7)/2-(ROUND($B$8*(1-$A64),0)+G$59/2)*$B$16*12-G$59*$B$11-$B$15</f>
        <v>576775.78125</v>
      </c>
    </row>
    <row r="65" customFormat="false" ht="15" hidden="false" customHeight="false" outlineLevel="0" collapsed="false">
      <c r="A65" s="48" t="n">
        <v>0.4</v>
      </c>
      <c r="B65" s="27" t="n">
        <f aca="false">ROUND($B$8*(1-$A65),0)*(($B$5*(1+$B$14))/(1+$B$6)-($B$5*(1+$B$14))*$B$7)+B$59*(($B$5*(1+$B$14))/(1+$B$6)-($B$5*(1+$B$14))*$B$7)/2+$B$8*($B$5/(1+$B$6)-$B$5*$B$7)/2-(ROUND($B$8*(1-$A65),0)+B$59/2)*$B$16*12-B$59*$B$11-$B$15</f>
        <v>212805</v>
      </c>
      <c r="C65" s="27" t="n">
        <f aca="false">ROUND($B$8*(1-$A65),0)*(($B$5*(1+$B$14))/(1+$B$6)-($B$5*(1+$B$14))*$B$7)+C$59*(($B$5*(1+$B$14))/(1+$B$6)-($B$5*(1+$B$14))*$B$7)/2+$B$8*($B$5/(1+$B$6)-$B$5*$B$7)/2-(ROUND($B$8*(1-$A65),0)+C$59/2)*$B$16*12-C$59*$B$11-$B$15</f>
        <v>268492.8125</v>
      </c>
      <c r="D65" s="27" t="n">
        <f aca="false">ROUND($B$8*(1-$A65),0)*(($B$5*(1+$B$14))/(1+$B$6)-($B$5*(1+$B$14))*$B$7)+D$59*(($B$5*(1+$B$14))/(1+$B$6)-($B$5*(1+$B$14))*$B$7)/2+$B$8*($B$5/(1+$B$6)-$B$5*$B$7)/2-(ROUND($B$8*(1-$A65),0)+D$59/2)*$B$16*12-D$59*$B$11-$B$15</f>
        <v>324180.625</v>
      </c>
      <c r="E65" s="27" t="n">
        <f aca="false">ROUND($B$8*(1-$A65),0)*(($B$5*(1+$B$14))/(1+$B$6)-($B$5*(1+$B$14))*$B$7)+E$59*(($B$5*(1+$B$14))/(1+$B$6)-($B$5*(1+$B$14))*$B$7)/2+$B$8*($B$5/(1+$B$6)-$B$5*$B$7)/2-(ROUND($B$8*(1-$A65),0)+E$59/2)*$B$16*12-E$59*$B$11-$B$15</f>
        <v>379868.4375</v>
      </c>
      <c r="F65" s="27" t="n">
        <f aca="false">ROUND($B$8*(1-$A65),0)*(($B$5*(1+$B$14))/(1+$B$6)-($B$5*(1+$B$14))*$B$7)+F$59*(($B$5*(1+$B$14))/(1+$B$6)-($B$5*(1+$B$14))*$B$7)/2+$B$8*($B$5/(1+$B$6)-$B$5*$B$7)/2-(ROUND($B$8*(1-$A65),0)+F$59/2)*$B$16*12-F$59*$B$11-$B$15</f>
        <v>463400.15625</v>
      </c>
      <c r="G65" s="27" t="n">
        <f aca="false">ROUND($B$8*(1-$A65),0)*(($B$5*(1+$B$14))/(1+$B$6)-($B$5*(1+$B$14))*$B$7)+G$59*(($B$5*(1+$B$14))/(1+$B$6)-($B$5*(1+$B$14))*$B$7)/2+$B$8*($B$5/(1+$B$6)-$B$5*$B$7)/2-(ROUND($B$8*(1-$A65),0)+G$59/2)*$B$16*12-G$59*$B$11-$B$15</f>
        <v>546931.875</v>
      </c>
    </row>
    <row r="66" customFormat="false" ht="15" hidden="false" customHeight="false" outlineLevel="0" collapsed="false">
      <c r="A66" s="48" t="n">
        <v>0.5</v>
      </c>
      <c r="B66" s="27" t="n">
        <f aca="false">ROUND($B$8*(1-$A66),0)*(($B$5*(1+$B$14))/(1+$B$6)-($B$5*(1+$B$14))*$B$7)+B$59*(($B$5*(1+$B$14))/(1+$B$6)-($B$5*(1+$B$14))*$B$7)/2+$B$8*($B$5/(1+$B$6)-$B$5*$B$7)/2-(ROUND($B$8*(1-$A66),0)+B$59/2)*$B$16*12-B$59*$B$11-$B$15</f>
        <v>182961.09375</v>
      </c>
      <c r="C66" s="27" t="n">
        <f aca="false">ROUND($B$8*(1-$A66),0)*(($B$5*(1+$B$14))/(1+$B$6)-($B$5*(1+$B$14))*$B$7)+C$59*(($B$5*(1+$B$14))/(1+$B$6)-($B$5*(1+$B$14))*$B$7)/2+$B$8*($B$5/(1+$B$6)-$B$5*$B$7)/2-(ROUND($B$8*(1-$A66),0)+C$59/2)*$B$16*12-C$59*$B$11-$B$15</f>
        <v>238648.90625</v>
      </c>
      <c r="D66" s="27" t="n">
        <f aca="false">ROUND($B$8*(1-$A66),0)*(($B$5*(1+$B$14))/(1+$B$6)-($B$5*(1+$B$14))*$B$7)+D$59*(($B$5*(1+$B$14))/(1+$B$6)-($B$5*(1+$B$14))*$B$7)/2+$B$8*($B$5/(1+$B$6)-$B$5*$B$7)/2-(ROUND($B$8*(1-$A66),0)+D$59/2)*$B$16*12-D$59*$B$11-$B$15</f>
        <v>294336.71875</v>
      </c>
      <c r="E66" s="27" t="n">
        <f aca="false">ROUND($B$8*(1-$A66),0)*(($B$5*(1+$B$14))/(1+$B$6)-($B$5*(1+$B$14))*$B$7)+E$59*(($B$5*(1+$B$14))/(1+$B$6)-($B$5*(1+$B$14))*$B$7)/2+$B$8*($B$5/(1+$B$6)-$B$5*$B$7)/2-(ROUND($B$8*(1-$A66),0)+E$59/2)*$B$16*12-E$59*$B$11-$B$15</f>
        <v>350024.53125</v>
      </c>
      <c r="F66" s="27" t="n">
        <f aca="false">ROUND($B$8*(1-$A66),0)*(($B$5*(1+$B$14))/(1+$B$6)-($B$5*(1+$B$14))*$B$7)+F$59*(($B$5*(1+$B$14))/(1+$B$6)-($B$5*(1+$B$14))*$B$7)/2+$B$8*($B$5/(1+$B$6)-$B$5*$B$7)/2-(ROUND($B$8*(1-$A66),0)+F$59/2)*$B$16*12-F$59*$B$11-$B$15</f>
        <v>433556.25</v>
      </c>
      <c r="G66" s="27" t="n">
        <f aca="false">ROUND($B$8*(1-$A66),0)*(($B$5*(1+$B$14))/(1+$B$6)-($B$5*(1+$B$14))*$B$7)+G$59*(($B$5*(1+$B$14))/(1+$B$6)-($B$5*(1+$B$14))*$B$7)/2+$B$8*($B$5/(1+$B$6)-$B$5*$B$7)/2-(ROUND($B$8*(1-$A66),0)+G$59/2)*$B$16*12-G$59*$B$11-$B$15</f>
        <v>517087.96875</v>
      </c>
    </row>
    <row r="68" customFormat="false" ht="23.85" hidden="false" customHeight="false" outlineLevel="0" collapsed="false">
      <c r="A68" s="20" t="s">
        <v>417</v>
      </c>
    </row>
  </sheetData>
  <conditionalFormatting sqref="B36:H43">
    <cfRule type="colorScale" priority="2">
      <colorScale>
        <cfvo type="num" val="15"/>
        <cfvo type="num" val="50"/>
        <cfvo type="num" val="120"/>
        <color rgb="FFC6EFCE"/>
        <color rgb="FFFFEB9C"/>
        <color rgb="FFFFC7CE"/>
      </colorScale>
    </cfRule>
  </conditionalFormatting>
  <conditionalFormatting sqref="B48:F55">
    <cfRule type="colorScale" priority="3">
      <colorScale>
        <cfvo type="num" val="-60000"/>
        <cfvo type="num" val="0"/>
        <cfvo type="num" val="200000"/>
        <color rgb="FFFFC7CE"/>
        <color rgb="FFFFFFFF"/>
        <color rgb="FFC6EFCE"/>
      </colorScale>
    </cfRule>
  </conditionalFormatting>
  <conditionalFormatting sqref="B60:G66">
    <cfRule type="colorScale" priority="4">
      <colorScale>
        <cfvo type="num" val="0"/>
        <cfvo type="num" val="200000"/>
        <cfvo type="num" val="500000"/>
        <color rgb="FFFFC7CE"/>
        <color rgb="FFFFEB9C"/>
        <color rgb="FFC6EFCE"/>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2026-10-13T08:41:01Z</dcterms:created>
  <dc:creator>openpyxl</dc:creator>
  <dc:description/>
  <dc:language>en-US</dc:language>
  <cp:lastModifiedBy/>
  <dcterms:modified xsi:type="dcterms:W3CDTF">2026-10-13T12:00:16Z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